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уник\Инфа\1\экселька\"/>
    </mc:Choice>
  </mc:AlternateContent>
  <bookViews>
    <workbookView xWindow="-108" yWindow="-108" windowWidth="23256" windowHeight="12456"/>
  </bookViews>
  <sheets>
    <sheet name="Вариант1" sheetId="1" r:id="rId1"/>
    <sheet name="Вариант2" sheetId="2" r:id="rId2"/>
    <sheet name="Вариант3" sheetId="3" r:id="rId3"/>
    <sheet name="Вариант4" sheetId="4" r:id="rId4"/>
    <sheet name="Вариант5" sheetId="5" r:id="rId5"/>
    <sheet name="Вариант6" sheetId="6" r:id="rId6"/>
    <sheet name="Вариант7" sheetId="7" r:id="rId7"/>
    <sheet name="Вариант8" sheetId="8" r:id="rId8"/>
    <sheet name="Вариант9" sheetId="9" r:id="rId9"/>
    <sheet name="Вариант10" sheetId="10" r:id="rId10"/>
    <sheet name="Вариант11" sheetId="11" r:id="rId11"/>
    <sheet name="Вариант12" sheetId="12" r:id="rId12"/>
    <sheet name="Вариант13" sheetId="13" r:id="rId13"/>
    <sheet name="Вариант14" sheetId="14" r:id="rId14"/>
    <sheet name="Вариант15" sheetId="15" r:id="rId15"/>
  </sheets>
  <externalReferences>
    <externalReference r:id="rId16"/>
  </externalReferences>
  <definedNames>
    <definedName name="_xlnm._FilterDatabase" localSheetId="0" hidden="1">Вариант1!$B$9:$L$17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3" l="1"/>
  <c r="M11" i="13"/>
  <c r="M12" i="13"/>
  <c r="M13" i="13"/>
  <c r="M14" i="13"/>
  <c r="M15" i="13"/>
  <c r="M16" i="13"/>
  <c r="M17" i="13"/>
  <c r="M18" i="13"/>
  <c r="M9" i="13"/>
  <c r="G15" i="13"/>
  <c r="C9" i="13"/>
  <c r="D9" i="13"/>
  <c r="E9" i="13"/>
  <c r="F9" i="13"/>
  <c r="G9" i="13"/>
  <c r="H9" i="13"/>
  <c r="I9" i="13"/>
  <c r="J9" i="13"/>
  <c r="K9" i="13"/>
  <c r="C10" i="13"/>
  <c r="D10" i="13"/>
  <c r="E10" i="13"/>
  <c r="F10" i="13"/>
  <c r="G10" i="13"/>
  <c r="H10" i="13"/>
  <c r="I10" i="13"/>
  <c r="J10" i="13"/>
  <c r="K10" i="13"/>
  <c r="C11" i="13"/>
  <c r="D11" i="13"/>
  <c r="E11" i="13"/>
  <c r="F11" i="13"/>
  <c r="G11" i="13"/>
  <c r="H11" i="13"/>
  <c r="I11" i="13"/>
  <c r="J11" i="13"/>
  <c r="K11" i="13"/>
  <c r="C12" i="13"/>
  <c r="D12" i="13"/>
  <c r="E12" i="13"/>
  <c r="F12" i="13"/>
  <c r="G12" i="13"/>
  <c r="H12" i="13"/>
  <c r="I12" i="13"/>
  <c r="J12" i="13"/>
  <c r="K12" i="13"/>
  <c r="C13" i="13"/>
  <c r="D13" i="13"/>
  <c r="E13" i="13"/>
  <c r="F13" i="13"/>
  <c r="G13" i="13"/>
  <c r="H13" i="13"/>
  <c r="I13" i="13"/>
  <c r="J13" i="13"/>
  <c r="K13" i="13"/>
  <c r="C14" i="13"/>
  <c r="D14" i="13"/>
  <c r="E14" i="13"/>
  <c r="F14" i="13"/>
  <c r="G14" i="13"/>
  <c r="H14" i="13"/>
  <c r="I14" i="13"/>
  <c r="J14" i="13"/>
  <c r="K14" i="13"/>
  <c r="C15" i="13"/>
  <c r="D15" i="13"/>
  <c r="E15" i="13"/>
  <c r="F15" i="13"/>
  <c r="H15" i="13"/>
  <c r="I15" i="13"/>
  <c r="J15" i="13"/>
  <c r="K15" i="13"/>
  <c r="C16" i="13"/>
  <c r="D16" i="13"/>
  <c r="E16" i="13"/>
  <c r="F16" i="13"/>
  <c r="G16" i="13"/>
  <c r="H16" i="13"/>
  <c r="I16" i="13"/>
  <c r="J16" i="13"/>
  <c r="K16" i="13"/>
  <c r="C17" i="13"/>
  <c r="D17" i="13"/>
  <c r="E17" i="13"/>
  <c r="F17" i="13"/>
  <c r="G17" i="13"/>
  <c r="H17" i="13"/>
  <c r="I17" i="13"/>
  <c r="J17" i="13"/>
  <c r="K17" i="13"/>
  <c r="C18" i="13"/>
  <c r="D18" i="13"/>
  <c r="E18" i="13"/>
  <c r="F18" i="13"/>
  <c r="G18" i="13"/>
  <c r="H18" i="13"/>
  <c r="I18" i="13"/>
  <c r="J18" i="13"/>
  <c r="K18" i="13"/>
  <c r="B10" i="13"/>
  <c r="B11" i="13"/>
  <c r="B12" i="13"/>
  <c r="B13" i="13"/>
  <c r="B14" i="13"/>
  <c r="B15" i="13"/>
  <c r="B16" i="13"/>
  <c r="B17" i="13"/>
  <c r="B18" i="13"/>
  <c r="B9" i="13"/>
  <c r="B11" i="10"/>
  <c r="C11" i="10"/>
  <c r="D11" i="10"/>
  <c r="E11" i="10"/>
  <c r="F11" i="10"/>
  <c r="G11" i="10"/>
  <c r="H11" i="10"/>
  <c r="I11" i="10"/>
  <c r="B12" i="10"/>
  <c r="C12" i="10"/>
  <c r="D12" i="10"/>
  <c r="E12" i="10"/>
  <c r="F12" i="10"/>
  <c r="G12" i="10"/>
  <c r="H12" i="10"/>
  <c r="I12" i="10"/>
  <c r="B13" i="10"/>
  <c r="C13" i="10"/>
  <c r="D13" i="10"/>
  <c r="E13" i="10"/>
  <c r="F13" i="10"/>
  <c r="G13" i="10"/>
  <c r="H13" i="10"/>
  <c r="I13" i="10"/>
  <c r="B14" i="10"/>
  <c r="C14" i="10"/>
  <c r="D14" i="10"/>
  <c r="E14" i="10"/>
  <c r="F14" i="10"/>
  <c r="G14" i="10"/>
  <c r="H14" i="10"/>
  <c r="I14" i="10"/>
  <c r="B15" i="10"/>
  <c r="C15" i="10"/>
  <c r="D15" i="10"/>
  <c r="E15" i="10"/>
  <c r="F15" i="10"/>
  <c r="G15" i="10"/>
  <c r="H15" i="10"/>
  <c r="I15" i="10"/>
  <c r="B16" i="10"/>
  <c r="C16" i="10"/>
  <c r="D16" i="10"/>
  <c r="E16" i="10"/>
  <c r="F16" i="10"/>
  <c r="G16" i="10"/>
  <c r="H16" i="10"/>
  <c r="I16" i="10"/>
  <c r="B17" i="10"/>
  <c r="C17" i="10"/>
  <c r="D17" i="10"/>
  <c r="E17" i="10"/>
  <c r="F17" i="10"/>
  <c r="G17" i="10"/>
  <c r="H17" i="10"/>
  <c r="I17" i="10"/>
  <c r="B18" i="10"/>
  <c r="C18" i="10"/>
  <c r="D18" i="10"/>
  <c r="E18" i="10"/>
  <c r="F18" i="10"/>
  <c r="G18" i="10"/>
  <c r="H18" i="10"/>
  <c r="I18" i="10"/>
  <c r="B19" i="10"/>
  <c r="C19" i="10"/>
  <c r="D19" i="10"/>
  <c r="E19" i="10"/>
  <c r="F19" i="10"/>
  <c r="G19" i="10"/>
  <c r="H19" i="10"/>
  <c r="I19" i="10"/>
  <c r="B20" i="10"/>
  <c r="C20" i="10"/>
  <c r="D20" i="10"/>
  <c r="E20" i="10"/>
  <c r="F20" i="10"/>
  <c r="G20" i="10"/>
  <c r="H20" i="10"/>
  <c r="I20" i="10"/>
  <c r="B21" i="10"/>
  <c r="C21" i="10"/>
  <c r="D21" i="10"/>
  <c r="E21" i="10"/>
  <c r="F21" i="10"/>
  <c r="G21" i="10"/>
  <c r="H21" i="10"/>
  <c r="I21" i="10"/>
  <c r="B22" i="10"/>
  <c r="C22" i="10"/>
  <c r="D22" i="10"/>
  <c r="E22" i="10"/>
  <c r="F22" i="10"/>
  <c r="G22" i="10"/>
  <c r="H22" i="10"/>
  <c r="I22" i="10"/>
  <c r="B23" i="10"/>
  <c r="C23" i="10"/>
  <c r="D23" i="10"/>
  <c r="E23" i="10"/>
  <c r="F23" i="10"/>
  <c r="G23" i="10"/>
  <c r="H23" i="10"/>
  <c r="I23" i="10"/>
  <c r="B24" i="10"/>
  <c r="C24" i="10"/>
  <c r="D24" i="10"/>
  <c r="E24" i="10"/>
  <c r="F24" i="10"/>
  <c r="G24" i="10"/>
  <c r="H24" i="10"/>
  <c r="I24" i="10"/>
  <c r="B25" i="10"/>
  <c r="C25" i="10"/>
  <c r="D25" i="10"/>
  <c r="E25" i="10"/>
  <c r="F25" i="10"/>
  <c r="G25" i="10"/>
  <c r="H25" i="10"/>
  <c r="I25" i="10"/>
  <c r="B26" i="10"/>
  <c r="C26" i="10"/>
  <c r="D26" i="10"/>
  <c r="E26" i="10"/>
  <c r="F26" i="10"/>
  <c r="G26" i="10"/>
  <c r="H26" i="10"/>
  <c r="I26" i="10"/>
  <c r="B27" i="10"/>
  <c r="C27" i="10"/>
  <c r="D27" i="10"/>
  <c r="E27" i="10"/>
  <c r="F27" i="10"/>
  <c r="G27" i="10"/>
  <c r="H27" i="10"/>
  <c r="I27" i="10"/>
  <c r="B28" i="10"/>
  <c r="C28" i="10"/>
  <c r="D28" i="10"/>
  <c r="E28" i="10"/>
  <c r="F28" i="10"/>
  <c r="G28" i="10"/>
  <c r="H28" i="10"/>
  <c r="I28" i="10"/>
  <c r="B29" i="10"/>
  <c r="C29" i="10"/>
  <c r="D29" i="10"/>
  <c r="E29" i="10"/>
  <c r="F29" i="10"/>
  <c r="G29" i="10"/>
  <c r="H29" i="10"/>
  <c r="I29" i="10"/>
  <c r="B30" i="10"/>
  <c r="C30" i="10"/>
  <c r="D30" i="10"/>
  <c r="E30" i="10"/>
  <c r="F30" i="10"/>
  <c r="G30" i="10"/>
  <c r="H30" i="10"/>
  <c r="I30" i="10"/>
  <c r="B31" i="10"/>
  <c r="C31" i="10"/>
  <c r="D31" i="10"/>
  <c r="E31" i="10"/>
  <c r="F31" i="10"/>
  <c r="G31" i="10"/>
  <c r="H31" i="10"/>
  <c r="I31" i="10"/>
  <c r="B32" i="10"/>
  <c r="C32" i="10"/>
  <c r="D32" i="10"/>
  <c r="E32" i="10"/>
  <c r="F32" i="10"/>
  <c r="G32" i="10"/>
  <c r="H32" i="10"/>
  <c r="I32" i="10"/>
  <c r="B33" i="10"/>
  <c r="C33" i="10"/>
  <c r="D33" i="10"/>
  <c r="E33" i="10"/>
  <c r="F33" i="10"/>
  <c r="G33" i="10"/>
  <c r="H33" i="10"/>
  <c r="I33" i="10"/>
  <c r="B34" i="10"/>
  <c r="C34" i="10"/>
  <c r="D34" i="10"/>
  <c r="E34" i="10"/>
  <c r="F34" i="10"/>
  <c r="G34" i="10"/>
  <c r="H34" i="10"/>
  <c r="I34" i="10"/>
  <c r="B35" i="10"/>
  <c r="C35" i="10"/>
  <c r="D35" i="10"/>
  <c r="E35" i="10"/>
  <c r="F35" i="10"/>
  <c r="G35" i="10"/>
  <c r="H35" i="10"/>
  <c r="I35" i="10"/>
  <c r="B36" i="10"/>
  <c r="C36" i="10"/>
  <c r="D36" i="10"/>
  <c r="E36" i="10"/>
  <c r="F36" i="10"/>
  <c r="G36" i="10"/>
  <c r="H36" i="10"/>
  <c r="I36" i="10"/>
  <c r="B37" i="10"/>
  <c r="C37" i="10"/>
  <c r="D37" i="10"/>
  <c r="E37" i="10"/>
  <c r="F37" i="10"/>
  <c r="G37" i="10"/>
  <c r="H37" i="10"/>
  <c r="I37" i="10"/>
  <c r="B38" i="10"/>
  <c r="C38" i="10"/>
  <c r="D38" i="10"/>
  <c r="E38" i="10"/>
  <c r="F38" i="10"/>
  <c r="G38" i="10"/>
  <c r="H38" i="10"/>
  <c r="I38" i="10"/>
  <c r="B39" i="10"/>
  <c r="C39" i="10"/>
  <c r="D39" i="10"/>
  <c r="E39" i="10"/>
  <c r="F39" i="10"/>
  <c r="G39" i="10"/>
  <c r="H39" i="10"/>
  <c r="I39" i="10"/>
  <c r="B40" i="10"/>
  <c r="C40" i="10"/>
  <c r="D40" i="10"/>
  <c r="E40" i="10"/>
  <c r="F40" i="10"/>
  <c r="G40" i="10"/>
  <c r="H40" i="10"/>
  <c r="I40" i="10"/>
  <c r="B41" i="10"/>
  <c r="C41" i="10"/>
  <c r="D41" i="10"/>
  <c r="E41" i="10"/>
  <c r="F41" i="10"/>
  <c r="G41" i="10"/>
  <c r="H41" i="10"/>
  <c r="I41" i="10"/>
  <c r="B42" i="10"/>
  <c r="C42" i="10"/>
  <c r="D42" i="10"/>
  <c r="E42" i="10"/>
  <c r="F42" i="10"/>
  <c r="G42" i="10"/>
  <c r="H42" i="10"/>
  <c r="I42" i="10"/>
  <c r="B43" i="10"/>
  <c r="C43" i="10"/>
  <c r="D43" i="10"/>
  <c r="E43" i="10"/>
  <c r="F43" i="10"/>
  <c r="G43" i="10"/>
  <c r="H43" i="10"/>
  <c r="I43" i="10"/>
  <c r="B44" i="10"/>
  <c r="C44" i="10"/>
  <c r="D44" i="10"/>
  <c r="E44" i="10"/>
  <c r="F44" i="10"/>
  <c r="G44" i="10"/>
  <c r="H44" i="10"/>
  <c r="I44" i="10"/>
  <c r="B45" i="10"/>
  <c r="C45" i="10"/>
  <c r="D45" i="10"/>
  <c r="E45" i="10"/>
  <c r="F45" i="10"/>
  <c r="G45" i="10"/>
  <c r="H45" i="10"/>
  <c r="I45" i="10"/>
  <c r="B46" i="10"/>
  <c r="C46" i="10"/>
  <c r="D46" i="10"/>
  <c r="E46" i="10"/>
  <c r="F46" i="10"/>
  <c r="G46" i="10"/>
  <c r="H46" i="10"/>
  <c r="I46" i="10"/>
  <c r="B47" i="10"/>
  <c r="C47" i="10"/>
  <c r="D47" i="10"/>
  <c r="E47" i="10"/>
  <c r="F47" i="10"/>
  <c r="G47" i="10"/>
  <c r="H47" i="10"/>
  <c r="I47" i="10"/>
  <c r="B48" i="10"/>
  <c r="C48" i="10"/>
  <c r="D48" i="10"/>
  <c r="E48" i="10"/>
  <c r="F48" i="10"/>
  <c r="G48" i="10"/>
  <c r="H48" i="10"/>
  <c r="I48" i="10"/>
  <c r="C10" i="10"/>
  <c r="D10" i="10"/>
  <c r="E10" i="10"/>
  <c r="F10" i="10"/>
  <c r="G10" i="10"/>
  <c r="H10" i="10"/>
  <c r="I10" i="10"/>
  <c r="B10" i="10"/>
  <c r="C9" i="10"/>
  <c r="D9" i="10"/>
  <c r="E9" i="10"/>
  <c r="F9" i="10"/>
  <c r="G9" i="10"/>
  <c r="H9" i="10"/>
  <c r="I9" i="10"/>
  <c r="B9" i="10"/>
  <c r="B50" i="4"/>
  <c r="B10" i="4"/>
  <c r="C10" i="4"/>
  <c r="D10" i="4"/>
  <c r="E10" i="4"/>
  <c r="F10" i="4"/>
  <c r="G10" i="4"/>
  <c r="H10" i="4"/>
  <c r="I10" i="4"/>
  <c r="J10" i="4"/>
  <c r="B11" i="4"/>
  <c r="C11" i="4"/>
  <c r="D11" i="4"/>
  <c r="E11" i="4"/>
  <c r="F11" i="4"/>
  <c r="G11" i="4"/>
  <c r="H11" i="4"/>
  <c r="I11" i="4"/>
  <c r="J11" i="4"/>
  <c r="B12" i="4"/>
  <c r="C12" i="4"/>
  <c r="D12" i="4"/>
  <c r="E12" i="4"/>
  <c r="F12" i="4"/>
  <c r="G12" i="4"/>
  <c r="H12" i="4"/>
  <c r="I12" i="4"/>
  <c r="J12" i="4"/>
  <c r="B13" i="4"/>
  <c r="C13" i="4"/>
  <c r="D13" i="4"/>
  <c r="E13" i="4"/>
  <c r="F13" i="4"/>
  <c r="G13" i="4"/>
  <c r="H13" i="4"/>
  <c r="I13" i="4"/>
  <c r="J13" i="4"/>
  <c r="B14" i="4"/>
  <c r="C14" i="4"/>
  <c r="D14" i="4"/>
  <c r="E14" i="4"/>
  <c r="F14" i="4"/>
  <c r="G14" i="4"/>
  <c r="H14" i="4"/>
  <c r="I14" i="4"/>
  <c r="J14" i="4"/>
  <c r="B15" i="4"/>
  <c r="C15" i="4"/>
  <c r="D15" i="4"/>
  <c r="E15" i="4"/>
  <c r="F15" i="4"/>
  <c r="G15" i="4"/>
  <c r="H15" i="4"/>
  <c r="I15" i="4"/>
  <c r="J15" i="4"/>
  <c r="B16" i="4"/>
  <c r="C16" i="4"/>
  <c r="D16" i="4"/>
  <c r="E16" i="4"/>
  <c r="F16" i="4"/>
  <c r="G16" i="4"/>
  <c r="H16" i="4"/>
  <c r="I16" i="4"/>
  <c r="J16" i="4"/>
  <c r="B17" i="4"/>
  <c r="C17" i="4"/>
  <c r="D17" i="4"/>
  <c r="E17" i="4"/>
  <c r="F17" i="4"/>
  <c r="G17" i="4"/>
  <c r="H17" i="4"/>
  <c r="I17" i="4"/>
  <c r="J17" i="4"/>
  <c r="B18" i="4"/>
  <c r="C18" i="4"/>
  <c r="D18" i="4"/>
  <c r="E18" i="4"/>
  <c r="F18" i="4"/>
  <c r="G18" i="4"/>
  <c r="H18" i="4"/>
  <c r="I18" i="4"/>
  <c r="J18" i="4"/>
  <c r="B19" i="4"/>
  <c r="C19" i="4"/>
  <c r="D19" i="4"/>
  <c r="E19" i="4"/>
  <c r="F19" i="4"/>
  <c r="G19" i="4"/>
  <c r="H19" i="4"/>
  <c r="I19" i="4"/>
  <c r="J19" i="4"/>
  <c r="B20" i="4"/>
  <c r="C20" i="4"/>
  <c r="D20" i="4"/>
  <c r="E20" i="4"/>
  <c r="F20" i="4"/>
  <c r="G20" i="4"/>
  <c r="H20" i="4"/>
  <c r="I20" i="4"/>
  <c r="J20" i="4"/>
  <c r="B21" i="4"/>
  <c r="C21" i="4"/>
  <c r="D21" i="4"/>
  <c r="E21" i="4"/>
  <c r="F21" i="4"/>
  <c r="G21" i="4"/>
  <c r="H21" i="4"/>
  <c r="I21" i="4"/>
  <c r="J21" i="4"/>
  <c r="C9" i="4"/>
  <c r="D9" i="4"/>
  <c r="E9" i="4"/>
  <c r="F9" i="4"/>
  <c r="G9" i="4"/>
  <c r="H9" i="4"/>
  <c r="I9" i="4"/>
  <c r="J9" i="4"/>
  <c r="J50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7" i="4"/>
  <c r="B49" i="4"/>
  <c r="B22" i="4"/>
  <c r="C22" i="4"/>
  <c r="D22" i="4"/>
  <c r="E22" i="4"/>
  <c r="F22" i="4"/>
  <c r="G22" i="4"/>
  <c r="H22" i="4"/>
  <c r="I22" i="4"/>
  <c r="B23" i="4"/>
  <c r="C23" i="4"/>
  <c r="D23" i="4"/>
  <c r="E23" i="4"/>
  <c r="F23" i="4"/>
  <c r="G23" i="4"/>
  <c r="H23" i="4"/>
  <c r="I23" i="4"/>
  <c r="B24" i="4"/>
  <c r="C24" i="4"/>
  <c r="D24" i="4"/>
  <c r="E24" i="4"/>
  <c r="F24" i="4"/>
  <c r="G24" i="4"/>
  <c r="H24" i="4"/>
  <c r="I24" i="4"/>
  <c r="B25" i="4"/>
  <c r="C25" i="4"/>
  <c r="D25" i="4"/>
  <c r="E25" i="4"/>
  <c r="F25" i="4"/>
  <c r="G25" i="4"/>
  <c r="H25" i="4"/>
  <c r="I25" i="4"/>
  <c r="B26" i="4"/>
  <c r="C26" i="4"/>
  <c r="D26" i="4"/>
  <c r="E26" i="4"/>
  <c r="F26" i="4"/>
  <c r="G26" i="4"/>
  <c r="H26" i="4"/>
  <c r="I26" i="4"/>
  <c r="B27" i="4"/>
  <c r="C27" i="4"/>
  <c r="D27" i="4"/>
  <c r="E27" i="4"/>
  <c r="F27" i="4"/>
  <c r="G27" i="4"/>
  <c r="H27" i="4"/>
  <c r="I27" i="4"/>
  <c r="B28" i="4"/>
  <c r="C28" i="4"/>
  <c r="D28" i="4"/>
  <c r="E28" i="4"/>
  <c r="F28" i="4"/>
  <c r="G28" i="4"/>
  <c r="H28" i="4"/>
  <c r="I28" i="4"/>
  <c r="B29" i="4"/>
  <c r="C29" i="4"/>
  <c r="D29" i="4"/>
  <c r="E29" i="4"/>
  <c r="F29" i="4"/>
  <c r="G29" i="4"/>
  <c r="H29" i="4"/>
  <c r="I29" i="4"/>
  <c r="B30" i="4"/>
  <c r="C30" i="4"/>
  <c r="D30" i="4"/>
  <c r="E30" i="4"/>
  <c r="F30" i="4"/>
  <c r="G30" i="4"/>
  <c r="H30" i="4"/>
  <c r="I30" i="4"/>
  <c r="B31" i="4"/>
  <c r="C31" i="4"/>
  <c r="D31" i="4"/>
  <c r="E31" i="4"/>
  <c r="F31" i="4"/>
  <c r="G31" i="4"/>
  <c r="H31" i="4"/>
  <c r="I31" i="4"/>
  <c r="B32" i="4"/>
  <c r="C32" i="4"/>
  <c r="D32" i="4"/>
  <c r="E32" i="4"/>
  <c r="F32" i="4"/>
  <c r="G32" i="4"/>
  <c r="H32" i="4"/>
  <c r="I32" i="4"/>
  <c r="B33" i="4"/>
  <c r="C33" i="4"/>
  <c r="D33" i="4"/>
  <c r="E33" i="4"/>
  <c r="F33" i="4"/>
  <c r="G33" i="4"/>
  <c r="H33" i="4"/>
  <c r="I33" i="4"/>
  <c r="B34" i="4"/>
  <c r="C34" i="4"/>
  <c r="D34" i="4"/>
  <c r="E34" i="4"/>
  <c r="F34" i="4"/>
  <c r="G34" i="4"/>
  <c r="H34" i="4"/>
  <c r="I34" i="4"/>
  <c r="B35" i="4"/>
  <c r="C35" i="4"/>
  <c r="D35" i="4"/>
  <c r="E35" i="4"/>
  <c r="F35" i="4"/>
  <c r="G35" i="4"/>
  <c r="H35" i="4"/>
  <c r="I35" i="4"/>
  <c r="B36" i="4"/>
  <c r="C36" i="4"/>
  <c r="D36" i="4"/>
  <c r="E36" i="4"/>
  <c r="F36" i="4"/>
  <c r="G36" i="4"/>
  <c r="H36" i="4"/>
  <c r="I36" i="4"/>
  <c r="B37" i="4"/>
  <c r="C37" i="4"/>
  <c r="D37" i="4"/>
  <c r="E37" i="4"/>
  <c r="F37" i="4"/>
  <c r="G37" i="4"/>
  <c r="H37" i="4"/>
  <c r="I37" i="4"/>
  <c r="B38" i="4"/>
  <c r="C38" i="4"/>
  <c r="D38" i="4"/>
  <c r="E38" i="4"/>
  <c r="F38" i="4"/>
  <c r="G38" i="4"/>
  <c r="H38" i="4"/>
  <c r="I38" i="4"/>
  <c r="B39" i="4"/>
  <c r="C39" i="4"/>
  <c r="D39" i="4"/>
  <c r="E39" i="4"/>
  <c r="F39" i="4"/>
  <c r="G39" i="4"/>
  <c r="H39" i="4"/>
  <c r="I39" i="4"/>
  <c r="B40" i="4"/>
  <c r="C40" i="4"/>
  <c r="D40" i="4"/>
  <c r="E40" i="4"/>
  <c r="F40" i="4"/>
  <c r="G40" i="4"/>
  <c r="H40" i="4"/>
  <c r="I40" i="4"/>
  <c r="B41" i="4"/>
  <c r="C41" i="4"/>
  <c r="D41" i="4"/>
  <c r="E41" i="4"/>
  <c r="F41" i="4"/>
  <c r="G41" i="4"/>
  <c r="H41" i="4"/>
  <c r="I41" i="4"/>
  <c r="B42" i="4"/>
  <c r="C42" i="4"/>
  <c r="D42" i="4"/>
  <c r="E42" i="4"/>
  <c r="F42" i="4"/>
  <c r="G42" i="4"/>
  <c r="H42" i="4"/>
  <c r="I42" i="4"/>
  <c r="B43" i="4"/>
  <c r="C43" i="4"/>
  <c r="D43" i="4"/>
  <c r="E43" i="4"/>
  <c r="F43" i="4"/>
  <c r="G43" i="4"/>
  <c r="H43" i="4"/>
  <c r="I43" i="4"/>
  <c r="B44" i="4"/>
  <c r="C44" i="4"/>
  <c r="D44" i="4"/>
  <c r="E44" i="4"/>
  <c r="F44" i="4"/>
  <c r="G44" i="4"/>
  <c r="H44" i="4"/>
  <c r="I44" i="4"/>
  <c r="B45" i="4"/>
  <c r="C45" i="4"/>
  <c r="D45" i="4"/>
  <c r="E45" i="4"/>
  <c r="F45" i="4"/>
  <c r="G45" i="4"/>
  <c r="H45" i="4"/>
  <c r="I45" i="4"/>
  <c r="B46" i="4"/>
  <c r="C46" i="4"/>
  <c r="D46" i="4"/>
  <c r="E46" i="4"/>
  <c r="F46" i="4"/>
  <c r="G46" i="4"/>
  <c r="H46" i="4"/>
  <c r="I46" i="4"/>
  <c r="B47" i="4"/>
  <c r="C47" i="4"/>
  <c r="D47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C50" i="4"/>
  <c r="D50" i="4"/>
  <c r="E50" i="4"/>
  <c r="F50" i="4"/>
  <c r="G50" i="4"/>
  <c r="H50" i="4"/>
  <c r="I50" i="4"/>
  <c r="L10" i="3"/>
  <c r="L11" i="3"/>
  <c r="L12" i="3"/>
  <c r="L13" i="3"/>
  <c r="L14" i="3"/>
  <c r="L15" i="3"/>
  <c r="L16" i="3"/>
  <c r="L17" i="3"/>
  <c r="L18" i="3"/>
  <c r="L9" i="3"/>
  <c r="C7" i="2"/>
  <c r="D7" i="2" s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50" i="2"/>
  <c r="B9" i="1"/>
  <c r="B10" i="1"/>
  <c r="B11" i="1"/>
  <c r="B12" i="1"/>
  <c r="B13" i="1"/>
  <c r="B14" i="1"/>
  <c r="B15" i="1"/>
  <c r="B16" i="1"/>
  <c r="B17" i="1"/>
  <c r="B18" i="1"/>
  <c r="C9" i="1"/>
  <c r="G49" i="4" l="1"/>
  <c r="E49" i="4"/>
  <c r="D49" i="4"/>
  <c r="C49" i="4"/>
  <c r="J49" i="4"/>
  <c r="F49" i="4"/>
  <c r="I49" i="4"/>
  <c r="H49" i="4"/>
  <c r="K30" i="15"/>
  <c r="J30" i="15"/>
  <c r="I30" i="15"/>
  <c r="H30" i="15"/>
  <c r="G30" i="15"/>
  <c r="F30" i="15"/>
  <c r="E30" i="15"/>
  <c r="D30" i="15"/>
  <c r="C30" i="15"/>
  <c r="B30" i="15"/>
  <c r="K28" i="15"/>
  <c r="J28" i="15"/>
  <c r="I28" i="15"/>
  <c r="H28" i="15"/>
  <c r="G28" i="15"/>
  <c r="F28" i="15"/>
  <c r="E28" i="15"/>
  <c r="D28" i="15"/>
  <c r="C28" i="15"/>
  <c r="B28" i="15"/>
  <c r="K27" i="15"/>
  <c r="J27" i="15"/>
  <c r="I27" i="15"/>
  <c r="H27" i="15"/>
  <c r="G27" i="15"/>
  <c r="F27" i="15"/>
  <c r="E27" i="15"/>
  <c r="D27" i="15"/>
  <c r="C27" i="15"/>
  <c r="B27" i="15"/>
  <c r="K26" i="15"/>
  <c r="J26" i="15"/>
  <c r="I26" i="15"/>
  <c r="H26" i="15"/>
  <c r="G26" i="15"/>
  <c r="F26" i="15"/>
  <c r="E26" i="15"/>
  <c r="D26" i="15"/>
  <c r="C26" i="15"/>
  <c r="B26" i="15"/>
  <c r="K25" i="15"/>
  <c r="J25" i="15"/>
  <c r="I25" i="15"/>
  <c r="H25" i="15"/>
  <c r="G25" i="15"/>
  <c r="F25" i="15"/>
  <c r="E25" i="15"/>
  <c r="D25" i="15"/>
  <c r="C25" i="15"/>
  <c r="B25" i="15"/>
  <c r="K24" i="15"/>
  <c r="J24" i="15"/>
  <c r="I24" i="15"/>
  <c r="H24" i="15"/>
  <c r="G24" i="15"/>
  <c r="F24" i="15"/>
  <c r="E24" i="15"/>
  <c r="D24" i="15"/>
  <c r="C24" i="15"/>
  <c r="B24" i="15"/>
  <c r="K23" i="15"/>
  <c r="J23" i="15"/>
  <c r="I23" i="15"/>
  <c r="H23" i="15"/>
  <c r="G23" i="15"/>
  <c r="F23" i="15"/>
  <c r="E23" i="15"/>
  <c r="D23" i="15"/>
  <c r="C23" i="15"/>
  <c r="B23" i="15"/>
  <c r="K22" i="15"/>
  <c r="J22" i="15"/>
  <c r="I22" i="15"/>
  <c r="H22" i="15"/>
  <c r="G22" i="15"/>
  <c r="F22" i="15"/>
  <c r="E22" i="15"/>
  <c r="D22" i="15"/>
  <c r="C22" i="15"/>
  <c r="B22" i="15"/>
  <c r="K21" i="15"/>
  <c r="J21" i="15"/>
  <c r="I21" i="15"/>
  <c r="H21" i="15"/>
  <c r="G21" i="15"/>
  <c r="F21" i="15"/>
  <c r="E21" i="15"/>
  <c r="D21" i="15"/>
  <c r="C21" i="15"/>
  <c r="B21" i="15"/>
  <c r="K20" i="15"/>
  <c r="J20" i="15"/>
  <c r="I20" i="15"/>
  <c r="H20" i="15"/>
  <c r="G20" i="15"/>
  <c r="F20" i="15"/>
  <c r="E20" i="15"/>
  <c r="D20" i="15"/>
  <c r="C20" i="15"/>
  <c r="B20" i="15"/>
  <c r="K19" i="15"/>
  <c r="J19" i="15"/>
  <c r="I19" i="15"/>
  <c r="H19" i="15"/>
  <c r="G19" i="15"/>
  <c r="F19" i="15"/>
  <c r="E19" i="15"/>
  <c r="D19" i="15"/>
  <c r="C19" i="15"/>
  <c r="B19" i="15"/>
  <c r="K18" i="15"/>
  <c r="J18" i="15"/>
  <c r="I18" i="15"/>
  <c r="H18" i="15"/>
  <c r="G18" i="15"/>
  <c r="F18" i="15"/>
  <c r="E18" i="15"/>
  <c r="D18" i="15"/>
  <c r="C18" i="15"/>
  <c r="B18" i="15"/>
  <c r="K17" i="15"/>
  <c r="J17" i="15"/>
  <c r="I17" i="15"/>
  <c r="H17" i="15"/>
  <c r="G17" i="15"/>
  <c r="F17" i="15"/>
  <c r="E17" i="15"/>
  <c r="D17" i="15"/>
  <c r="C17" i="15"/>
  <c r="B17" i="15"/>
  <c r="K16" i="15"/>
  <c r="J16" i="15"/>
  <c r="I16" i="15"/>
  <c r="H16" i="15"/>
  <c r="G16" i="15"/>
  <c r="F16" i="15"/>
  <c r="E16" i="15"/>
  <c r="D16" i="15"/>
  <c r="C16" i="15"/>
  <c r="B16" i="15"/>
  <c r="K15" i="15"/>
  <c r="J15" i="15"/>
  <c r="I15" i="15"/>
  <c r="H15" i="15"/>
  <c r="G15" i="15"/>
  <c r="F15" i="15"/>
  <c r="E15" i="15"/>
  <c r="D15" i="15"/>
  <c r="C15" i="15"/>
  <c r="B15" i="15"/>
  <c r="K14" i="15"/>
  <c r="J14" i="15"/>
  <c r="I14" i="15"/>
  <c r="H14" i="15"/>
  <c r="G14" i="15"/>
  <c r="F14" i="15"/>
  <c r="E14" i="15"/>
  <c r="D14" i="15"/>
  <c r="C14" i="15"/>
  <c r="B14" i="15"/>
  <c r="K13" i="15"/>
  <c r="J13" i="15"/>
  <c r="I13" i="15"/>
  <c r="H13" i="15"/>
  <c r="G13" i="15"/>
  <c r="F13" i="15"/>
  <c r="E13" i="15"/>
  <c r="D13" i="15"/>
  <c r="C13" i="15"/>
  <c r="B13" i="15"/>
  <c r="K12" i="15"/>
  <c r="J12" i="15"/>
  <c r="I12" i="15"/>
  <c r="H12" i="15"/>
  <c r="G12" i="15"/>
  <c r="F12" i="15"/>
  <c r="E12" i="15"/>
  <c r="D12" i="15"/>
  <c r="C12" i="15"/>
  <c r="B12" i="15"/>
  <c r="K11" i="15"/>
  <c r="J11" i="15"/>
  <c r="I11" i="15"/>
  <c r="H11" i="15"/>
  <c r="G11" i="15"/>
  <c r="F11" i="15"/>
  <c r="E11" i="15"/>
  <c r="D11" i="15"/>
  <c r="C11" i="15"/>
  <c r="B11" i="15"/>
  <c r="K10" i="15"/>
  <c r="J10" i="15"/>
  <c r="I10" i="15"/>
  <c r="H10" i="15"/>
  <c r="G10" i="15"/>
  <c r="F10" i="15"/>
  <c r="E10" i="15"/>
  <c r="D10" i="15"/>
  <c r="C10" i="15"/>
  <c r="B10" i="15"/>
  <c r="K9" i="15"/>
  <c r="J9" i="15"/>
  <c r="I9" i="15"/>
  <c r="H9" i="15"/>
  <c r="G9" i="15"/>
  <c r="F9" i="15"/>
  <c r="E9" i="15"/>
  <c r="D9" i="15"/>
  <c r="C9" i="15"/>
  <c r="B9" i="15"/>
  <c r="A10" i="15"/>
  <c r="A11" i="15" s="1"/>
  <c r="C7" i="15"/>
  <c r="M18" i="14"/>
  <c r="M17" i="14"/>
  <c r="M16" i="14"/>
  <c r="M15" i="14"/>
  <c r="M14" i="14"/>
  <c r="M13" i="14"/>
  <c r="M12" i="14"/>
  <c r="M11" i="14"/>
  <c r="M10" i="14"/>
  <c r="M9" i="14"/>
  <c r="K18" i="14"/>
  <c r="J18" i="14"/>
  <c r="I18" i="14"/>
  <c r="H18" i="14"/>
  <c r="G18" i="14"/>
  <c r="F18" i="14"/>
  <c r="E18" i="14"/>
  <c r="D18" i="14"/>
  <c r="C18" i="14"/>
  <c r="B18" i="14"/>
  <c r="K17" i="14"/>
  <c r="J17" i="14"/>
  <c r="I17" i="14"/>
  <c r="H17" i="14"/>
  <c r="G17" i="14"/>
  <c r="F17" i="14"/>
  <c r="E17" i="14"/>
  <c r="D17" i="14"/>
  <c r="C17" i="14"/>
  <c r="B17" i="14"/>
  <c r="K16" i="14"/>
  <c r="J16" i="14"/>
  <c r="I16" i="14"/>
  <c r="H16" i="14"/>
  <c r="G16" i="14"/>
  <c r="F16" i="14"/>
  <c r="E16" i="14"/>
  <c r="D16" i="14"/>
  <c r="C16" i="14"/>
  <c r="B16" i="14"/>
  <c r="K15" i="14"/>
  <c r="J15" i="14"/>
  <c r="I15" i="14"/>
  <c r="H15" i="14"/>
  <c r="G15" i="14"/>
  <c r="F15" i="14"/>
  <c r="E15" i="14"/>
  <c r="D15" i="14"/>
  <c r="C15" i="14"/>
  <c r="B15" i="14"/>
  <c r="K14" i="14"/>
  <c r="J14" i="14"/>
  <c r="I14" i="14"/>
  <c r="H14" i="14"/>
  <c r="G14" i="14"/>
  <c r="F14" i="14"/>
  <c r="E14" i="14"/>
  <c r="D14" i="14"/>
  <c r="C14" i="14"/>
  <c r="B14" i="14"/>
  <c r="K13" i="14"/>
  <c r="J13" i="14"/>
  <c r="I13" i="14"/>
  <c r="H13" i="14"/>
  <c r="G13" i="14"/>
  <c r="F13" i="14"/>
  <c r="E13" i="14"/>
  <c r="D13" i="14"/>
  <c r="C13" i="14"/>
  <c r="B13" i="14"/>
  <c r="K12" i="14"/>
  <c r="J12" i="14"/>
  <c r="I12" i="14"/>
  <c r="H12" i="14"/>
  <c r="G12" i="14"/>
  <c r="F12" i="14"/>
  <c r="E12" i="14"/>
  <c r="D12" i="14"/>
  <c r="C12" i="14"/>
  <c r="B12" i="14"/>
  <c r="K11" i="14"/>
  <c r="J11" i="14"/>
  <c r="I11" i="14"/>
  <c r="H11" i="14"/>
  <c r="G11" i="14"/>
  <c r="F11" i="14"/>
  <c r="E11" i="14"/>
  <c r="D11" i="14"/>
  <c r="C11" i="14"/>
  <c r="B11" i="14"/>
  <c r="K10" i="14"/>
  <c r="J10" i="14"/>
  <c r="I10" i="14"/>
  <c r="H10" i="14"/>
  <c r="G10" i="14"/>
  <c r="F10" i="14"/>
  <c r="E10" i="14"/>
  <c r="D10" i="14"/>
  <c r="C10" i="14"/>
  <c r="B10" i="14"/>
  <c r="K9" i="14"/>
  <c r="J9" i="14"/>
  <c r="I9" i="14"/>
  <c r="H9" i="14"/>
  <c r="G9" i="14"/>
  <c r="F9" i="14"/>
  <c r="E9" i="14"/>
  <c r="D9" i="14"/>
  <c r="C9" i="14"/>
  <c r="B9" i="14"/>
  <c r="A11" i="14"/>
  <c r="A10" i="14"/>
  <c r="E7" i="14"/>
  <c r="D7" i="14"/>
  <c r="C7" i="14"/>
  <c r="A11" i="13"/>
  <c r="A12" i="13" s="1"/>
  <c r="A10" i="13"/>
  <c r="E7" i="13"/>
  <c r="D7" i="13"/>
  <c r="C7" i="13"/>
  <c r="L25" i="12"/>
  <c r="K25" i="12"/>
  <c r="J25" i="12"/>
  <c r="I25" i="12"/>
  <c r="H25" i="12"/>
  <c r="G25" i="12"/>
  <c r="F25" i="12"/>
  <c r="E25" i="12"/>
  <c r="D25" i="12"/>
  <c r="C25" i="12"/>
  <c r="B25" i="12"/>
  <c r="L23" i="12"/>
  <c r="K23" i="12"/>
  <c r="J23" i="12"/>
  <c r="I23" i="12"/>
  <c r="H23" i="12"/>
  <c r="G23" i="12"/>
  <c r="F23" i="12"/>
  <c r="E23" i="12"/>
  <c r="D23" i="12"/>
  <c r="C23" i="12"/>
  <c r="B23" i="12"/>
  <c r="L22" i="12"/>
  <c r="K22" i="12"/>
  <c r="J22" i="12"/>
  <c r="I22" i="12"/>
  <c r="H22" i="12"/>
  <c r="G22" i="12"/>
  <c r="F22" i="12"/>
  <c r="E22" i="12"/>
  <c r="D22" i="12"/>
  <c r="C22" i="12"/>
  <c r="B22" i="12"/>
  <c r="L21" i="12"/>
  <c r="K21" i="12"/>
  <c r="J21" i="12"/>
  <c r="I21" i="12"/>
  <c r="H21" i="12"/>
  <c r="G21" i="12"/>
  <c r="F21" i="12"/>
  <c r="E21" i="12"/>
  <c r="D21" i="12"/>
  <c r="C21" i="12"/>
  <c r="B21" i="12"/>
  <c r="L20" i="12"/>
  <c r="K20" i="12"/>
  <c r="J20" i="12"/>
  <c r="I20" i="12"/>
  <c r="H20" i="12"/>
  <c r="G20" i="12"/>
  <c r="F20" i="12"/>
  <c r="E20" i="12"/>
  <c r="D20" i="12"/>
  <c r="C20" i="12"/>
  <c r="B20" i="12"/>
  <c r="L19" i="12"/>
  <c r="K19" i="12"/>
  <c r="J19" i="12"/>
  <c r="I19" i="12"/>
  <c r="H19" i="12"/>
  <c r="G19" i="12"/>
  <c r="F19" i="12"/>
  <c r="E19" i="12"/>
  <c r="D19" i="12"/>
  <c r="C19" i="12"/>
  <c r="B19" i="12"/>
  <c r="L18" i="12"/>
  <c r="K18" i="12"/>
  <c r="J18" i="12"/>
  <c r="I18" i="12"/>
  <c r="H18" i="12"/>
  <c r="G18" i="12"/>
  <c r="F18" i="12"/>
  <c r="E18" i="12"/>
  <c r="D18" i="12"/>
  <c r="C18" i="12"/>
  <c r="B18" i="12"/>
  <c r="L17" i="12"/>
  <c r="K17" i="12"/>
  <c r="J17" i="12"/>
  <c r="I17" i="12"/>
  <c r="H17" i="12"/>
  <c r="G17" i="12"/>
  <c r="F17" i="12"/>
  <c r="E17" i="12"/>
  <c r="D17" i="12"/>
  <c r="C17" i="12"/>
  <c r="B17" i="12"/>
  <c r="L16" i="12"/>
  <c r="K16" i="12"/>
  <c r="J16" i="12"/>
  <c r="I16" i="12"/>
  <c r="H16" i="12"/>
  <c r="G16" i="12"/>
  <c r="F16" i="12"/>
  <c r="E16" i="12"/>
  <c r="D16" i="12"/>
  <c r="C16" i="12"/>
  <c r="B16" i="12"/>
  <c r="L15" i="12"/>
  <c r="K15" i="12"/>
  <c r="J15" i="12"/>
  <c r="I15" i="12"/>
  <c r="H15" i="12"/>
  <c r="G15" i="12"/>
  <c r="F15" i="12"/>
  <c r="E15" i="12"/>
  <c r="D15" i="12"/>
  <c r="C15" i="12"/>
  <c r="B15" i="12"/>
  <c r="L14" i="12"/>
  <c r="K14" i="12"/>
  <c r="J14" i="12"/>
  <c r="I14" i="12"/>
  <c r="H14" i="12"/>
  <c r="G14" i="12"/>
  <c r="F14" i="12"/>
  <c r="E14" i="12"/>
  <c r="D14" i="12"/>
  <c r="C14" i="12"/>
  <c r="B14" i="12"/>
  <c r="L13" i="12"/>
  <c r="K13" i="12"/>
  <c r="J13" i="12"/>
  <c r="I13" i="12"/>
  <c r="H13" i="12"/>
  <c r="G13" i="12"/>
  <c r="F13" i="12"/>
  <c r="E13" i="12"/>
  <c r="D13" i="12"/>
  <c r="C13" i="12"/>
  <c r="B13" i="12"/>
  <c r="L12" i="12"/>
  <c r="K12" i="12"/>
  <c r="J12" i="12"/>
  <c r="I12" i="12"/>
  <c r="H12" i="12"/>
  <c r="G12" i="12"/>
  <c r="F12" i="12"/>
  <c r="E12" i="12"/>
  <c r="D12" i="12"/>
  <c r="C12" i="12"/>
  <c r="B12" i="12"/>
  <c r="L11" i="12"/>
  <c r="K11" i="12"/>
  <c r="J11" i="12"/>
  <c r="I11" i="12"/>
  <c r="H11" i="12"/>
  <c r="G11" i="12"/>
  <c r="F11" i="12"/>
  <c r="E11" i="12"/>
  <c r="D11" i="12"/>
  <c r="C11" i="12"/>
  <c r="B11" i="12"/>
  <c r="L10" i="12"/>
  <c r="K10" i="12"/>
  <c r="J10" i="12"/>
  <c r="I10" i="12"/>
  <c r="H10" i="12"/>
  <c r="G10" i="12"/>
  <c r="F10" i="12"/>
  <c r="E10" i="12"/>
  <c r="D10" i="12"/>
  <c r="C10" i="12"/>
  <c r="B10" i="12"/>
  <c r="L9" i="12"/>
  <c r="K9" i="12"/>
  <c r="J9" i="12"/>
  <c r="I9" i="12"/>
  <c r="H9" i="12"/>
  <c r="G9" i="12"/>
  <c r="F9" i="12"/>
  <c r="E9" i="12"/>
  <c r="D9" i="12"/>
  <c r="C9" i="12"/>
  <c r="B9" i="12"/>
  <c r="L7" i="12"/>
  <c r="D7" i="12"/>
  <c r="E7" i="12" s="1"/>
  <c r="F7" i="12" s="1"/>
  <c r="G7" i="12" s="1"/>
  <c r="H7" i="12" s="1"/>
  <c r="I7" i="12" s="1"/>
  <c r="J7" i="12" s="1"/>
  <c r="K7" i="12" s="1"/>
  <c r="C7" i="12"/>
  <c r="A10" i="12"/>
  <c r="A11" i="12" s="1"/>
  <c r="E50" i="11"/>
  <c r="D50" i="11"/>
  <c r="C50" i="11"/>
  <c r="B50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B7" i="11"/>
  <c r="A10" i="11"/>
  <c r="I50" i="10"/>
  <c r="H50" i="10"/>
  <c r="G50" i="10"/>
  <c r="F50" i="10"/>
  <c r="E50" i="10"/>
  <c r="D50" i="10"/>
  <c r="C50" i="10"/>
  <c r="B50" i="10"/>
  <c r="C7" i="10"/>
  <c r="D7" i="10" s="1"/>
  <c r="E7" i="10" s="1"/>
  <c r="F7" i="10" s="1"/>
  <c r="G7" i="10" s="1"/>
  <c r="H7" i="10" s="1"/>
  <c r="I7" i="10" s="1"/>
  <c r="A10" i="10"/>
  <c r="M18" i="9"/>
  <c r="M17" i="9"/>
  <c r="M16" i="9"/>
  <c r="M15" i="9"/>
  <c r="M14" i="9"/>
  <c r="M13" i="9"/>
  <c r="M12" i="9"/>
  <c r="M11" i="9"/>
  <c r="M10" i="9"/>
  <c r="M9" i="9"/>
  <c r="K18" i="9"/>
  <c r="J18" i="9"/>
  <c r="I18" i="9"/>
  <c r="H18" i="9"/>
  <c r="G18" i="9"/>
  <c r="F18" i="9"/>
  <c r="E18" i="9"/>
  <c r="D18" i="9"/>
  <c r="C18" i="9"/>
  <c r="B18" i="9"/>
  <c r="K17" i="9"/>
  <c r="J17" i="9"/>
  <c r="I17" i="9"/>
  <c r="H17" i="9"/>
  <c r="G17" i="9"/>
  <c r="F17" i="9"/>
  <c r="L17" i="9" s="1"/>
  <c r="E17" i="9"/>
  <c r="D17" i="9"/>
  <c r="C17" i="9"/>
  <c r="B17" i="9"/>
  <c r="K16" i="9"/>
  <c r="J16" i="9"/>
  <c r="I16" i="9"/>
  <c r="H16" i="9"/>
  <c r="L16" i="9" s="1"/>
  <c r="G16" i="9"/>
  <c r="F16" i="9"/>
  <c r="E16" i="9"/>
  <c r="D16" i="9"/>
  <c r="C16" i="9"/>
  <c r="B16" i="9"/>
  <c r="K15" i="9"/>
  <c r="J15" i="9"/>
  <c r="I15" i="9"/>
  <c r="H15" i="9"/>
  <c r="G15" i="9"/>
  <c r="F15" i="9"/>
  <c r="E15" i="9"/>
  <c r="D15" i="9"/>
  <c r="C15" i="9"/>
  <c r="B15" i="9"/>
  <c r="K14" i="9"/>
  <c r="J14" i="9"/>
  <c r="I14" i="9"/>
  <c r="H14" i="9"/>
  <c r="G14" i="9"/>
  <c r="F14" i="9"/>
  <c r="E14" i="9"/>
  <c r="D14" i="9"/>
  <c r="L14" i="9" s="1"/>
  <c r="C14" i="9"/>
  <c r="B14" i="9"/>
  <c r="K13" i="9"/>
  <c r="J13" i="9"/>
  <c r="I13" i="9"/>
  <c r="H13" i="9"/>
  <c r="G13" i="9"/>
  <c r="F13" i="9"/>
  <c r="L13" i="9" s="1"/>
  <c r="E13" i="9"/>
  <c r="D13" i="9"/>
  <c r="C13" i="9"/>
  <c r="B13" i="9"/>
  <c r="K12" i="9"/>
  <c r="J12" i="9"/>
  <c r="I12" i="9"/>
  <c r="H12" i="9"/>
  <c r="L12" i="9" s="1"/>
  <c r="G12" i="9"/>
  <c r="F12" i="9"/>
  <c r="E12" i="9"/>
  <c r="D12" i="9"/>
  <c r="C12" i="9"/>
  <c r="B12" i="9"/>
  <c r="K11" i="9"/>
  <c r="J11" i="9"/>
  <c r="I11" i="9"/>
  <c r="H11" i="9"/>
  <c r="G11" i="9"/>
  <c r="F11" i="9"/>
  <c r="E11" i="9"/>
  <c r="D11" i="9"/>
  <c r="C11" i="9"/>
  <c r="B11" i="9"/>
  <c r="L11" i="9" s="1"/>
  <c r="K10" i="9"/>
  <c r="J10" i="9"/>
  <c r="I10" i="9"/>
  <c r="H10" i="9"/>
  <c r="G10" i="9"/>
  <c r="F10" i="9"/>
  <c r="E10" i="9"/>
  <c r="D10" i="9"/>
  <c r="L10" i="9" s="1"/>
  <c r="C10" i="9"/>
  <c r="B10" i="9"/>
  <c r="K9" i="9"/>
  <c r="J9" i="9"/>
  <c r="I9" i="9"/>
  <c r="H9" i="9"/>
  <c r="G9" i="9"/>
  <c r="F9" i="9"/>
  <c r="L9" i="9" s="1"/>
  <c r="E9" i="9"/>
  <c r="D9" i="9"/>
  <c r="C9" i="9"/>
  <c r="L15" i="9"/>
  <c r="L18" i="9"/>
  <c r="B9" i="9"/>
  <c r="A11" i="9"/>
  <c r="A12" i="9" s="1"/>
  <c r="A10" i="9"/>
  <c r="D7" i="9"/>
  <c r="C7" i="9"/>
  <c r="J50" i="8"/>
  <c r="I50" i="8"/>
  <c r="H50" i="8"/>
  <c r="G50" i="8"/>
  <c r="F50" i="8"/>
  <c r="E50" i="8"/>
  <c r="D50" i="8"/>
  <c r="C50" i="8"/>
  <c r="B50" i="8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B7" i="8"/>
  <c r="A12" i="15" l="1"/>
  <c r="D7" i="15"/>
  <c r="F7" i="14"/>
  <c r="A12" i="14"/>
  <c r="A13" i="13"/>
  <c r="F7" i="13"/>
  <c r="A12" i="12"/>
  <c r="C7" i="11"/>
  <c r="D7" i="11" s="1"/>
  <c r="E7" i="11" s="1"/>
  <c r="A11" i="11"/>
  <c r="A11" i="10"/>
  <c r="A13" i="9"/>
  <c r="E7" i="9"/>
  <c r="B45" i="8"/>
  <c r="B10" i="8"/>
  <c r="B14" i="8"/>
  <c r="B18" i="8"/>
  <c r="B22" i="8"/>
  <c r="B26" i="8"/>
  <c r="B30" i="8"/>
  <c r="B34" i="8"/>
  <c r="B38" i="8"/>
  <c r="B42" i="8"/>
  <c r="B46" i="8"/>
  <c r="B11" i="8"/>
  <c r="B15" i="8"/>
  <c r="B19" i="8"/>
  <c r="B23" i="8"/>
  <c r="B27" i="8"/>
  <c r="B31" i="8"/>
  <c r="B35" i="8"/>
  <c r="B39" i="8"/>
  <c r="B43" i="8"/>
  <c r="B47" i="8"/>
  <c r="B12" i="8"/>
  <c r="B16" i="8"/>
  <c r="B20" i="8"/>
  <c r="B24" i="8"/>
  <c r="B28" i="8"/>
  <c r="B32" i="8"/>
  <c r="B36" i="8"/>
  <c r="B40" i="8"/>
  <c r="B44" i="8"/>
  <c r="B48" i="8"/>
  <c r="C7" i="8"/>
  <c r="B9" i="8"/>
  <c r="B13" i="8"/>
  <c r="B17" i="8"/>
  <c r="B21" i="8"/>
  <c r="B25" i="8"/>
  <c r="B29" i="8"/>
  <c r="B33" i="8"/>
  <c r="B37" i="8"/>
  <c r="B41" i="8"/>
  <c r="E7" i="15" l="1"/>
  <c r="A13" i="15"/>
  <c r="G7" i="14"/>
  <c r="A13" i="14"/>
  <c r="G7" i="13"/>
  <c r="A14" i="13"/>
  <c r="L24" i="12"/>
  <c r="A13" i="12"/>
  <c r="A12" i="11"/>
  <c r="A12" i="10"/>
  <c r="A14" i="9"/>
  <c r="F7" i="9"/>
  <c r="D7" i="8"/>
  <c r="C48" i="8"/>
  <c r="C44" i="8"/>
  <c r="C40" i="8"/>
  <c r="C36" i="8"/>
  <c r="C32" i="8"/>
  <c r="C28" i="8"/>
  <c r="C24" i="8"/>
  <c r="C20" i="8"/>
  <c r="C16" i="8"/>
  <c r="C12" i="8"/>
  <c r="C13" i="8"/>
  <c r="C27" i="8"/>
  <c r="C47" i="8"/>
  <c r="C43" i="8"/>
  <c r="C39" i="8"/>
  <c r="C35" i="8"/>
  <c r="C31" i="8"/>
  <c r="C23" i="8"/>
  <c r="C19" i="8"/>
  <c r="C15" i="8"/>
  <c r="C11" i="8"/>
  <c r="C25" i="8"/>
  <c r="C46" i="8"/>
  <c r="C42" i="8"/>
  <c r="C38" i="8"/>
  <c r="C34" i="8"/>
  <c r="C30" i="8"/>
  <c r="C26" i="8"/>
  <c r="C22" i="8"/>
  <c r="C18" i="8"/>
  <c r="C14" i="8"/>
  <c r="C10" i="8"/>
  <c r="C41" i="8"/>
  <c r="C37" i="8"/>
  <c r="C33" i="8"/>
  <c r="C29" i="8"/>
  <c r="C21" i="8"/>
  <c r="C17" i="8"/>
  <c r="C9" i="8"/>
  <c r="C49" i="8" s="1"/>
  <c r="C45" i="8"/>
  <c r="B49" i="8"/>
  <c r="F7" i="15" l="1"/>
  <c r="A14" i="15"/>
  <c r="H7" i="14"/>
  <c r="A14" i="14"/>
  <c r="H7" i="13"/>
  <c r="A15" i="13"/>
  <c r="A14" i="12"/>
  <c r="A13" i="11"/>
  <c r="A13" i="10"/>
  <c r="A15" i="9"/>
  <c r="G7" i="9"/>
  <c r="D48" i="8"/>
  <c r="D44" i="8"/>
  <c r="D40" i="8"/>
  <c r="D36" i="8"/>
  <c r="D32" i="8"/>
  <c r="D28" i="8"/>
  <c r="D24" i="8"/>
  <c r="D20" i="8"/>
  <c r="D16" i="8"/>
  <c r="D12" i="8"/>
  <c r="D47" i="8"/>
  <c r="D43" i="8"/>
  <c r="D39" i="8"/>
  <c r="D35" i="8"/>
  <c r="D31" i="8"/>
  <c r="D27" i="8"/>
  <c r="D23" i="8"/>
  <c r="D19" i="8"/>
  <c r="D15" i="8"/>
  <c r="D11" i="8"/>
  <c r="D46" i="8"/>
  <c r="D42" i="8"/>
  <c r="D38" i="8"/>
  <c r="D34" i="8"/>
  <c r="D30" i="8"/>
  <c r="D26" i="8"/>
  <c r="D22" i="8"/>
  <c r="D18" i="8"/>
  <c r="D14" i="8"/>
  <c r="D10" i="8"/>
  <c r="D45" i="8"/>
  <c r="D41" i="8"/>
  <c r="D37" i="8"/>
  <c r="D33" i="8"/>
  <c r="D29" i="8"/>
  <c r="D25" i="8"/>
  <c r="D21" i="8"/>
  <c r="D17" i="8"/>
  <c r="D13" i="8"/>
  <c r="D9" i="8"/>
  <c r="D49" i="8" s="1"/>
  <c r="E7" i="8"/>
  <c r="A15" i="15" l="1"/>
  <c r="G7" i="15"/>
  <c r="A15" i="14"/>
  <c r="I7" i="14"/>
  <c r="I7" i="13"/>
  <c r="A16" i="13"/>
  <c r="A15" i="12"/>
  <c r="A14" i="11"/>
  <c r="A14" i="10"/>
  <c r="A16" i="9"/>
  <c r="H7" i="9"/>
  <c r="E47" i="8"/>
  <c r="E43" i="8"/>
  <c r="E39" i="8"/>
  <c r="E35" i="8"/>
  <c r="E31" i="8"/>
  <c r="E27" i="8"/>
  <c r="E23" i="8"/>
  <c r="E19" i="8"/>
  <c r="E15" i="8"/>
  <c r="E11" i="8"/>
  <c r="E10" i="8"/>
  <c r="E28" i="8"/>
  <c r="E14" i="8"/>
  <c r="E46" i="8"/>
  <c r="E42" i="8"/>
  <c r="E38" i="8"/>
  <c r="E34" i="8"/>
  <c r="E30" i="8"/>
  <c r="E26" i="8"/>
  <c r="E22" i="8"/>
  <c r="E18" i="8"/>
  <c r="E48" i="8"/>
  <c r="E44" i="8"/>
  <c r="E40" i="8"/>
  <c r="E36" i="8"/>
  <c r="E32" i="8"/>
  <c r="E16" i="8"/>
  <c r="E45" i="8"/>
  <c r="E41" i="8"/>
  <c r="E37" i="8"/>
  <c r="E33" i="8"/>
  <c r="E29" i="8"/>
  <c r="E25" i="8"/>
  <c r="E21" i="8"/>
  <c r="E17" i="8"/>
  <c r="E13" i="8"/>
  <c r="E9" i="8"/>
  <c r="F7" i="8"/>
  <c r="E12" i="8"/>
  <c r="E24" i="8"/>
  <c r="E20" i="8"/>
  <c r="A16" i="15" l="1"/>
  <c r="H7" i="15"/>
  <c r="A16" i="14"/>
  <c r="J7" i="14"/>
  <c r="A17" i="13"/>
  <c r="J7" i="13"/>
  <c r="A16" i="12"/>
  <c r="A15" i="11"/>
  <c r="A15" i="10"/>
  <c r="A17" i="9"/>
  <c r="I7" i="9"/>
  <c r="F47" i="8"/>
  <c r="F43" i="8"/>
  <c r="F39" i="8"/>
  <c r="F35" i="8"/>
  <c r="F31" i="8"/>
  <c r="F27" i="8"/>
  <c r="F23" i="8"/>
  <c r="F19" i="8"/>
  <c r="F15" i="8"/>
  <c r="F11" i="8"/>
  <c r="F46" i="8"/>
  <c r="F42" i="8"/>
  <c r="F38" i="8"/>
  <c r="F34" i="8"/>
  <c r="F30" i="8"/>
  <c r="F26" i="8"/>
  <c r="F22" i="8"/>
  <c r="F18" i="8"/>
  <c r="F14" i="8"/>
  <c r="F10" i="8"/>
  <c r="F45" i="8"/>
  <c r="F41" i="8"/>
  <c r="F37" i="8"/>
  <c r="F33" i="8"/>
  <c r="F29" i="8"/>
  <c r="F25" i="8"/>
  <c r="F21" i="8"/>
  <c r="F17" i="8"/>
  <c r="F13" i="8"/>
  <c r="F9" i="8"/>
  <c r="G7" i="8"/>
  <c r="F48" i="8"/>
  <c r="F44" i="8"/>
  <c r="F40" i="8"/>
  <c r="F36" i="8"/>
  <c r="F32" i="8"/>
  <c r="F28" i="8"/>
  <c r="F24" i="8"/>
  <c r="F20" i="8"/>
  <c r="F16" i="8"/>
  <c r="F12" i="8"/>
  <c r="E49" i="8"/>
  <c r="A17" i="15" l="1"/>
  <c r="I7" i="15"/>
  <c r="A17" i="14"/>
  <c r="K7" i="14"/>
  <c r="K7" i="13"/>
  <c r="A18" i="13"/>
  <c r="A17" i="12"/>
  <c r="A16" i="11"/>
  <c r="A16" i="10"/>
  <c r="A18" i="9"/>
  <c r="J7" i="9"/>
  <c r="G27" i="8"/>
  <c r="G46" i="8"/>
  <c r="G42" i="8"/>
  <c r="G38" i="8"/>
  <c r="G34" i="8"/>
  <c r="G30" i="8"/>
  <c r="G26" i="8"/>
  <c r="G22" i="8"/>
  <c r="G18" i="8"/>
  <c r="G14" i="8"/>
  <c r="G10" i="8"/>
  <c r="G25" i="8"/>
  <c r="G9" i="8"/>
  <c r="G45" i="8"/>
  <c r="G41" i="8"/>
  <c r="G37" i="8"/>
  <c r="G33" i="8"/>
  <c r="G29" i="8"/>
  <c r="G21" i="8"/>
  <c r="G17" i="8"/>
  <c r="G13" i="8"/>
  <c r="H7" i="8"/>
  <c r="G48" i="8"/>
  <c r="G44" i="8"/>
  <c r="G40" i="8"/>
  <c r="G36" i="8"/>
  <c r="G32" i="8"/>
  <c r="G28" i="8"/>
  <c r="G24" i="8"/>
  <c r="G20" i="8"/>
  <c r="G16" i="8"/>
  <c r="G12" i="8"/>
  <c r="G47" i="8"/>
  <c r="G43" i="8"/>
  <c r="G39" i="8"/>
  <c r="G35" i="8"/>
  <c r="G31" i="8"/>
  <c r="G23" i="8"/>
  <c r="G19" i="8"/>
  <c r="G15" i="8"/>
  <c r="G11" i="8"/>
  <c r="F49" i="8"/>
  <c r="J7" i="15" l="1"/>
  <c r="A18" i="15"/>
  <c r="L9" i="14"/>
  <c r="L11" i="14"/>
  <c r="L10" i="14"/>
  <c r="L12" i="14"/>
  <c r="L13" i="14"/>
  <c r="L15" i="14"/>
  <c r="A18" i="14"/>
  <c r="L16" i="14"/>
  <c r="L14" i="14"/>
  <c r="L12" i="13"/>
  <c r="L14" i="13"/>
  <c r="L10" i="13"/>
  <c r="L17" i="13"/>
  <c r="L9" i="13"/>
  <c r="L13" i="13"/>
  <c r="L16" i="13"/>
  <c r="L11" i="13"/>
  <c r="L15" i="13"/>
  <c r="L18" i="13"/>
  <c r="A18" i="12"/>
  <c r="A17" i="11"/>
  <c r="A17" i="10"/>
  <c r="K7" i="9"/>
  <c r="H46" i="8"/>
  <c r="H42" i="8"/>
  <c r="H38" i="8"/>
  <c r="H34" i="8"/>
  <c r="H30" i="8"/>
  <c r="H26" i="8"/>
  <c r="H22" i="8"/>
  <c r="H18" i="8"/>
  <c r="H14" i="8"/>
  <c r="H10" i="8"/>
  <c r="H45" i="8"/>
  <c r="H41" i="8"/>
  <c r="H37" i="8"/>
  <c r="H33" i="8"/>
  <c r="H29" i="8"/>
  <c r="H25" i="8"/>
  <c r="H21" i="8"/>
  <c r="H17" i="8"/>
  <c r="H13" i="8"/>
  <c r="H9" i="8"/>
  <c r="I7" i="8"/>
  <c r="H48" i="8"/>
  <c r="H44" i="8"/>
  <c r="H40" i="8"/>
  <c r="H36" i="8"/>
  <c r="H32" i="8"/>
  <c r="H28" i="8"/>
  <c r="H24" i="8"/>
  <c r="H20" i="8"/>
  <c r="H16" i="8"/>
  <c r="H12" i="8"/>
  <c r="H47" i="8"/>
  <c r="H43" i="8"/>
  <c r="H39" i="8"/>
  <c r="H35" i="8"/>
  <c r="H31" i="8"/>
  <c r="H27" i="8"/>
  <c r="H23" i="8"/>
  <c r="H19" i="8"/>
  <c r="H15" i="8"/>
  <c r="H11" i="8"/>
  <c r="G49" i="8"/>
  <c r="K7" i="15" l="1"/>
  <c r="A19" i="15"/>
  <c r="L17" i="14"/>
  <c r="A19" i="12"/>
  <c r="A18" i="11"/>
  <c r="A18" i="10"/>
  <c r="I24" i="8"/>
  <c r="I45" i="8"/>
  <c r="I41" i="8"/>
  <c r="I37" i="8"/>
  <c r="I33" i="8"/>
  <c r="I29" i="8"/>
  <c r="I25" i="8"/>
  <c r="I21" i="8"/>
  <c r="I17" i="8"/>
  <c r="I13" i="8"/>
  <c r="I9" i="8"/>
  <c r="J7" i="8"/>
  <c r="I16" i="8"/>
  <c r="I12" i="8"/>
  <c r="I48" i="8"/>
  <c r="I44" i="8"/>
  <c r="I40" i="8"/>
  <c r="I36" i="8"/>
  <c r="I32" i="8"/>
  <c r="I28" i="8"/>
  <c r="I20" i="8"/>
  <c r="I22" i="8"/>
  <c r="I46" i="8"/>
  <c r="I18" i="8"/>
  <c r="I10" i="8"/>
  <c r="I47" i="8"/>
  <c r="I43" i="8"/>
  <c r="I39" i="8"/>
  <c r="I35" i="8"/>
  <c r="I31" i="8"/>
  <c r="I27" i="8"/>
  <c r="I23" i="8"/>
  <c r="I19" i="8"/>
  <c r="I15" i="8"/>
  <c r="I11" i="8"/>
  <c r="I26" i="8"/>
  <c r="I42" i="8"/>
  <c r="I38" i="8"/>
  <c r="I34" i="8"/>
  <c r="I30" i="8"/>
  <c r="I14" i="8"/>
  <c r="H49" i="8"/>
  <c r="A20" i="15" l="1"/>
  <c r="L18" i="14"/>
  <c r="A20" i="12"/>
  <c r="A19" i="11"/>
  <c r="A19" i="10"/>
  <c r="J45" i="8"/>
  <c r="J41" i="8"/>
  <c r="J37" i="8"/>
  <c r="J33" i="8"/>
  <c r="J29" i="8"/>
  <c r="J25" i="8"/>
  <c r="J21" i="8"/>
  <c r="J17" i="8"/>
  <c r="J13" i="8"/>
  <c r="J9" i="8"/>
  <c r="J48" i="8"/>
  <c r="J44" i="8"/>
  <c r="J40" i="8"/>
  <c r="J36" i="8"/>
  <c r="J32" i="8"/>
  <c r="J28" i="8"/>
  <c r="J24" i="8"/>
  <c r="J20" i="8"/>
  <c r="J16" i="8"/>
  <c r="J12" i="8"/>
  <c r="J47" i="8"/>
  <c r="J43" i="8"/>
  <c r="J39" i="8"/>
  <c r="J35" i="8"/>
  <c r="J31" i="8"/>
  <c r="J27" i="8"/>
  <c r="J23" i="8"/>
  <c r="J19" i="8"/>
  <c r="J15" i="8"/>
  <c r="J11" i="8"/>
  <c r="J46" i="8"/>
  <c r="J42" i="8"/>
  <c r="J38" i="8"/>
  <c r="J34" i="8"/>
  <c r="J30" i="8"/>
  <c r="J26" i="8"/>
  <c r="J22" i="8"/>
  <c r="J18" i="8"/>
  <c r="J14" i="8"/>
  <c r="J10" i="8"/>
  <c r="I49" i="8"/>
  <c r="A21" i="15" l="1"/>
  <c r="A21" i="12"/>
  <c r="A20" i="11"/>
  <c r="A20" i="10"/>
  <c r="J49" i="8"/>
  <c r="A22" i="15" l="1"/>
  <c r="A22" i="12"/>
  <c r="A21" i="11"/>
  <c r="A21" i="10"/>
  <c r="K30" i="7"/>
  <c r="J30" i="7"/>
  <c r="I30" i="7"/>
  <c r="H30" i="7"/>
  <c r="G30" i="7"/>
  <c r="F30" i="7"/>
  <c r="E30" i="7"/>
  <c r="D30" i="7"/>
  <c r="C30" i="7"/>
  <c r="B30" i="7"/>
  <c r="K28" i="7"/>
  <c r="J28" i="7"/>
  <c r="I28" i="7"/>
  <c r="H28" i="7"/>
  <c r="G28" i="7"/>
  <c r="F28" i="7"/>
  <c r="E28" i="7"/>
  <c r="D28" i="7"/>
  <c r="C28" i="7"/>
  <c r="B28" i="7"/>
  <c r="K27" i="7"/>
  <c r="J27" i="7"/>
  <c r="I27" i="7"/>
  <c r="H27" i="7"/>
  <c r="G27" i="7"/>
  <c r="F27" i="7"/>
  <c r="E27" i="7"/>
  <c r="D27" i="7"/>
  <c r="C27" i="7"/>
  <c r="B27" i="7"/>
  <c r="K26" i="7"/>
  <c r="J26" i="7"/>
  <c r="I26" i="7"/>
  <c r="H26" i="7"/>
  <c r="G26" i="7"/>
  <c r="F26" i="7"/>
  <c r="E26" i="7"/>
  <c r="D26" i="7"/>
  <c r="C26" i="7"/>
  <c r="B26" i="7"/>
  <c r="K25" i="7"/>
  <c r="J25" i="7"/>
  <c r="I25" i="7"/>
  <c r="H25" i="7"/>
  <c r="G25" i="7"/>
  <c r="F25" i="7"/>
  <c r="E25" i="7"/>
  <c r="D25" i="7"/>
  <c r="C25" i="7"/>
  <c r="B25" i="7"/>
  <c r="K24" i="7"/>
  <c r="J24" i="7"/>
  <c r="I24" i="7"/>
  <c r="H24" i="7"/>
  <c r="G24" i="7"/>
  <c r="F24" i="7"/>
  <c r="E24" i="7"/>
  <c r="D24" i="7"/>
  <c r="C24" i="7"/>
  <c r="B24" i="7"/>
  <c r="K23" i="7"/>
  <c r="J23" i="7"/>
  <c r="I23" i="7"/>
  <c r="H23" i="7"/>
  <c r="G23" i="7"/>
  <c r="F23" i="7"/>
  <c r="E23" i="7"/>
  <c r="D23" i="7"/>
  <c r="C23" i="7"/>
  <c r="B23" i="7"/>
  <c r="K22" i="7"/>
  <c r="J22" i="7"/>
  <c r="I22" i="7"/>
  <c r="H22" i="7"/>
  <c r="G22" i="7"/>
  <c r="F22" i="7"/>
  <c r="E22" i="7"/>
  <c r="D22" i="7"/>
  <c r="C22" i="7"/>
  <c r="B22" i="7"/>
  <c r="K21" i="7"/>
  <c r="J21" i="7"/>
  <c r="I21" i="7"/>
  <c r="H21" i="7"/>
  <c r="G21" i="7"/>
  <c r="F21" i="7"/>
  <c r="E21" i="7"/>
  <c r="D21" i="7"/>
  <c r="C21" i="7"/>
  <c r="B21" i="7"/>
  <c r="K20" i="7"/>
  <c r="J20" i="7"/>
  <c r="I20" i="7"/>
  <c r="H20" i="7"/>
  <c r="G20" i="7"/>
  <c r="F20" i="7"/>
  <c r="E20" i="7"/>
  <c r="D20" i="7"/>
  <c r="C20" i="7"/>
  <c r="B20" i="7"/>
  <c r="K19" i="7"/>
  <c r="J19" i="7"/>
  <c r="I19" i="7"/>
  <c r="H19" i="7"/>
  <c r="G19" i="7"/>
  <c r="F19" i="7"/>
  <c r="E19" i="7"/>
  <c r="D19" i="7"/>
  <c r="C19" i="7"/>
  <c r="B19" i="7"/>
  <c r="K18" i="7"/>
  <c r="J18" i="7"/>
  <c r="I18" i="7"/>
  <c r="H18" i="7"/>
  <c r="G18" i="7"/>
  <c r="F18" i="7"/>
  <c r="E18" i="7"/>
  <c r="D18" i="7"/>
  <c r="C18" i="7"/>
  <c r="B18" i="7"/>
  <c r="K17" i="7"/>
  <c r="J17" i="7"/>
  <c r="I17" i="7"/>
  <c r="H17" i="7"/>
  <c r="G17" i="7"/>
  <c r="F17" i="7"/>
  <c r="E17" i="7"/>
  <c r="D17" i="7"/>
  <c r="C17" i="7"/>
  <c r="B17" i="7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7" i="7"/>
  <c r="A10" i="7"/>
  <c r="C7" i="7"/>
  <c r="J50" i="6"/>
  <c r="I50" i="6"/>
  <c r="H50" i="6"/>
  <c r="G50" i="6"/>
  <c r="F50" i="6"/>
  <c r="E50" i="6"/>
  <c r="D50" i="6"/>
  <c r="C50" i="6"/>
  <c r="B50" i="6"/>
  <c r="J48" i="6"/>
  <c r="I48" i="6"/>
  <c r="H48" i="6"/>
  <c r="G48" i="6"/>
  <c r="F48" i="6"/>
  <c r="E48" i="6"/>
  <c r="D48" i="6"/>
  <c r="C48" i="6"/>
  <c r="B48" i="6"/>
  <c r="J47" i="6"/>
  <c r="I47" i="6"/>
  <c r="H47" i="6"/>
  <c r="G47" i="6"/>
  <c r="F47" i="6"/>
  <c r="E47" i="6"/>
  <c r="D47" i="6"/>
  <c r="C47" i="6"/>
  <c r="B47" i="6"/>
  <c r="J46" i="6"/>
  <c r="I46" i="6"/>
  <c r="H46" i="6"/>
  <c r="G46" i="6"/>
  <c r="F46" i="6"/>
  <c r="E46" i="6"/>
  <c r="D46" i="6"/>
  <c r="C46" i="6"/>
  <c r="B46" i="6"/>
  <c r="J45" i="6"/>
  <c r="I45" i="6"/>
  <c r="H45" i="6"/>
  <c r="G45" i="6"/>
  <c r="F45" i="6"/>
  <c r="E45" i="6"/>
  <c r="D45" i="6"/>
  <c r="C45" i="6"/>
  <c r="B45" i="6"/>
  <c r="J44" i="6"/>
  <c r="I44" i="6"/>
  <c r="H44" i="6"/>
  <c r="G44" i="6"/>
  <c r="F44" i="6"/>
  <c r="E44" i="6"/>
  <c r="D44" i="6"/>
  <c r="C44" i="6"/>
  <c r="B44" i="6"/>
  <c r="J43" i="6"/>
  <c r="I43" i="6"/>
  <c r="H43" i="6"/>
  <c r="G43" i="6"/>
  <c r="F43" i="6"/>
  <c r="E43" i="6"/>
  <c r="D43" i="6"/>
  <c r="C43" i="6"/>
  <c r="B43" i="6"/>
  <c r="J42" i="6"/>
  <c r="I42" i="6"/>
  <c r="H42" i="6"/>
  <c r="G42" i="6"/>
  <c r="F42" i="6"/>
  <c r="E42" i="6"/>
  <c r="D42" i="6"/>
  <c r="C42" i="6"/>
  <c r="B42" i="6"/>
  <c r="J41" i="6"/>
  <c r="I41" i="6"/>
  <c r="H41" i="6"/>
  <c r="G41" i="6"/>
  <c r="F41" i="6"/>
  <c r="E41" i="6"/>
  <c r="D41" i="6"/>
  <c r="C41" i="6"/>
  <c r="B41" i="6"/>
  <c r="J40" i="6"/>
  <c r="I40" i="6"/>
  <c r="H40" i="6"/>
  <c r="G40" i="6"/>
  <c r="F40" i="6"/>
  <c r="E40" i="6"/>
  <c r="D40" i="6"/>
  <c r="C40" i="6"/>
  <c r="B40" i="6"/>
  <c r="J39" i="6"/>
  <c r="I39" i="6"/>
  <c r="H39" i="6"/>
  <c r="G39" i="6"/>
  <c r="F39" i="6"/>
  <c r="E39" i="6"/>
  <c r="D39" i="6"/>
  <c r="C39" i="6"/>
  <c r="B39" i="6"/>
  <c r="J38" i="6"/>
  <c r="I38" i="6"/>
  <c r="H38" i="6"/>
  <c r="G38" i="6"/>
  <c r="F38" i="6"/>
  <c r="E38" i="6"/>
  <c r="D38" i="6"/>
  <c r="C38" i="6"/>
  <c r="B38" i="6"/>
  <c r="J37" i="6"/>
  <c r="I37" i="6"/>
  <c r="H37" i="6"/>
  <c r="G37" i="6"/>
  <c r="F37" i="6"/>
  <c r="E37" i="6"/>
  <c r="D37" i="6"/>
  <c r="C37" i="6"/>
  <c r="B37" i="6"/>
  <c r="J36" i="6"/>
  <c r="I36" i="6"/>
  <c r="H36" i="6"/>
  <c r="G36" i="6"/>
  <c r="F36" i="6"/>
  <c r="E36" i="6"/>
  <c r="D36" i="6"/>
  <c r="C36" i="6"/>
  <c r="B36" i="6"/>
  <c r="J35" i="6"/>
  <c r="I35" i="6"/>
  <c r="H35" i="6"/>
  <c r="G35" i="6"/>
  <c r="F35" i="6"/>
  <c r="E35" i="6"/>
  <c r="D35" i="6"/>
  <c r="C35" i="6"/>
  <c r="B35" i="6"/>
  <c r="J34" i="6"/>
  <c r="I34" i="6"/>
  <c r="H34" i="6"/>
  <c r="G34" i="6"/>
  <c r="F34" i="6"/>
  <c r="E34" i="6"/>
  <c r="D34" i="6"/>
  <c r="C34" i="6"/>
  <c r="B34" i="6"/>
  <c r="J33" i="6"/>
  <c r="I33" i="6"/>
  <c r="H33" i="6"/>
  <c r="G33" i="6"/>
  <c r="F33" i="6"/>
  <c r="E33" i="6"/>
  <c r="D33" i="6"/>
  <c r="C33" i="6"/>
  <c r="B33" i="6"/>
  <c r="J32" i="6"/>
  <c r="I32" i="6"/>
  <c r="H32" i="6"/>
  <c r="G32" i="6"/>
  <c r="F32" i="6"/>
  <c r="E32" i="6"/>
  <c r="D32" i="6"/>
  <c r="C32" i="6"/>
  <c r="B32" i="6"/>
  <c r="J31" i="6"/>
  <c r="I31" i="6"/>
  <c r="H31" i="6"/>
  <c r="G31" i="6"/>
  <c r="F31" i="6"/>
  <c r="E31" i="6"/>
  <c r="D31" i="6"/>
  <c r="C31" i="6"/>
  <c r="B31" i="6"/>
  <c r="J30" i="6"/>
  <c r="I30" i="6"/>
  <c r="H30" i="6"/>
  <c r="G30" i="6"/>
  <c r="F30" i="6"/>
  <c r="E30" i="6"/>
  <c r="D30" i="6"/>
  <c r="C30" i="6"/>
  <c r="B30" i="6"/>
  <c r="J29" i="6"/>
  <c r="I29" i="6"/>
  <c r="H29" i="6"/>
  <c r="G29" i="6"/>
  <c r="F29" i="6"/>
  <c r="E29" i="6"/>
  <c r="D29" i="6"/>
  <c r="C29" i="6"/>
  <c r="B29" i="6"/>
  <c r="J28" i="6"/>
  <c r="I28" i="6"/>
  <c r="H28" i="6"/>
  <c r="G28" i="6"/>
  <c r="F28" i="6"/>
  <c r="E28" i="6"/>
  <c r="D28" i="6"/>
  <c r="C28" i="6"/>
  <c r="B28" i="6"/>
  <c r="J27" i="6"/>
  <c r="I27" i="6"/>
  <c r="H27" i="6"/>
  <c r="G27" i="6"/>
  <c r="F27" i="6"/>
  <c r="E27" i="6"/>
  <c r="D27" i="6"/>
  <c r="C27" i="6"/>
  <c r="B27" i="6"/>
  <c r="J26" i="6"/>
  <c r="I26" i="6"/>
  <c r="H26" i="6"/>
  <c r="G26" i="6"/>
  <c r="F26" i="6"/>
  <c r="E26" i="6"/>
  <c r="D26" i="6"/>
  <c r="C26" i="6"/>
  <c r="B26" i="6"/>
  <c r="J25" i="6"/>
  <c r="I25" i="6"/>
  <c r="H25" i="6"/>
  <c r="G25" i="6"/>
  <c r="F25" i="6"/>
  <c r="E25" i="6"/>
  <c r="D25" i="6"/>
  <c r="C25" i="6"/>
  <c r="B25" i="6"/>
  <c r="J24" i="6"/>
  <c r="I24" i="6"/>
  <c r="H24" i="6"/>
  <c r="G24" i="6"/>
  <c r="F24" i="6"/>
  <c r="E24" i="6"/>
  <c r="D24" i="6"/>
  <c r="C24" i="6"/>
  <c r="B24" i="6"/>
  <c r="J23" i="6"/>
  <c r="I23" i="6"/>
  <c r="H23" i="6"/>
  <c r="G23" i="6"/>
  <c r="F23" i="6"/>
  <c r="E23" i="6"/>
  <c r="D23" i="6"/>
  <c r="C23" i="6"/>
  <c r="B23" i="6"/>
  <c r="J22" i="6"/>
  <c r="I22" i="6"/>
  <c r="H22" i="6"/>
  <c r="G22" i="6"/>
  <c r="F22" i="6"/>
  <c r="E22" i="6"/>
  <c r="D22" i="6"/>
  <c r="C22" i="6"/>
  <c r="B22" i="6"/>
  <c r="J21" i="6"/>
  <c r="I21" i="6"/>
  <c r="H21" i="6"/>
  <c r="G21" i="6"/>
  <c r="F21" i="6"/>
  <c r="E21" i="6"/>
  <c r="D21" i="6"/>
  <c r="C21" i="6"/>
  <c r="B21" i="6"/>
  <c r="J20" i="6"/>
  <c r="I20" i="6"/>
  <c r="H20" i="6"/>
  <c r="G20" i="6"/>
  <c r="F20" i="6"/>
  <c r="E20" i="6"/>
  <c r="D20" i="6"/>
  <c r="C20" i="6"/>
  <c r="B20" i="6"/>
  <c r="J19" i="6"/>
  <c r="I19" i="6"/>
  <c r="H19" i="6"/>
  <c r="G19" i="6"/>
  <c r="F19" i="6"/>
  <c r="E19" i="6"/>
  <c r="D19" i="6"/>
  <c r="C19" i="6"/>
  <c r="B19" i="6"/>
  <c r="J18" i="6"/>
  <c r="I18" i="6"/>
  <c r="H18" i="6"/>
  <c r="G18" i="6"/>
  <c r="F18" i="6"/>
  <c r="E18" i="6"/>
  <c r="D18" i="6"/>
  <c r="C18" i="6"/>
  <c r="B18" i="6"/>
  <c r="J17" i="6"/>
  <c r="I17" i="6"/>
  <c r="H17" i="6"/>
  <c r="G17" i="6"/>
  <c r="F17" i="6"/>
  <c r="E17" i="6"/>
  <c r="D17" i="6"/>
  <c r="C17" i="6"/>
  <c r="B17" i="6"/>
  <c r="J16" i="6"/>
  <c r="I16" i="6"/>
  <c r="H16" i="6"/>
  <c r="G16" i="6"/>
  <c r="F16" i="6"/>
  <c r="E16" i="6"/>
  <c r="D16" i="6"/>
  <c r="C16" i="6"/>
  <c r="B16" i="6"/>
  <c r="J15" i="6"/>
  <c r="I15" i="6"/>
  <c r="H15" i="6"/>
  <c r="G15" i="6"/>
  <c r="F15" i="6"/>
  <c r="E15" i="6"/>
  <c r="D15" i="6"/>
  <c r="C15" i="6"/>
  <c r="B15" i="6"/>
  <c r="J14" i="6"/>
  <c r="I14" i="6"/>
  <c r="H14" i="6"/>
  <c r="G14" i="6"/>
  <c r="F14" i="6"/>
  <c r="E14" i="6"/>
  <c r="D14" i="6"/>
  <c r="C14" i="6"/>
  <c r="B14" i="6"/>
  <c r="J13" i="6"/>
  <c r="I13" i="6"/>
  <c r="H13" i="6"/>
  <c r="G13" i="6"/>
  <c r="F13" i="6"/>
  <c r="E13" i="6"/>
  <c r="D13" i="6"/>
  <c r="C13" i="6"/>
  <c r="B13" i="6"/>
  <c r="J12" i="6"/>
  <c r="I12" i="6"/>
  <c r="H12" i="6"/>
  <c r="G12" i="6"/>
  <c r="F12" i="6"/>
  <c r="E12" i="6"/>
  <c r="D12" i="6"/>
  <c r="C12" i="6"/>
  <c r="B12" i="6"/>
  <c r="J11" i="6"/>
  <c r="I11" i="6"/>
  <c r="H11" i="6"/>
  <c r="G11" i="6"/>
  <c r="F11" i="6"/>
  <c r="E11" i="6"/>
  <c r="D11" i="6"/>
  <c r="C11" i="6"/>
  <c r="B11" i="6"/>
  <c r="J10" i="6"/>
  <c r="I10" i="6"/>
  <c r="H10" i="6"/>
  <c r="G10" i="6"/>
  <c r="F10" i="6"/>
  <c r="E10" i="6"/>
  <c r="D10" i="6"/>
  <c r="C10" i="6"/>
  <c r="B10" i="6"/>
  <c r="J9" i="6"/>
  <c r="I9" i="6"/>
  <c r="H9" i="6"/>
  <c r="G9" i="6"/>
  <c r="F9" i="6"/>
  <c r="E9" i="6"/>
  <c r="D9" i="6"/>
  <c r="C9" i="6"/>
  <c r="B9" i="6"/>
  <c r="D7" i="6"/>
  <c r="E7" i="6" s="1"/>
  <c r="F7" i="6" s="1"/>
  <c r="G7" i="6" s="1"/>
  <c r="H7" i="6" s="1"/>
  <c r="I7" i="6" s="1"/>
  <c r="J7" i="6" s="1"/>
  <c r="C7" i="6"/>
  <c r="A10" i="6"/>
  <c r="K25" i="5"/>
  <c r="J25" i="5"/>
  <c r="I25" i="5"/>
  <c r="H25" i="5"/>
  <c r="G25" i="5"/>
  <c r="F25" i="5"/>
  <c r="E25" i="5"/>
  <c r="D25" i="5"/>
  <c r="C25" i="5"/>
  <c r="B25" i="5"/>
  <c r="K23" i="5"/>
  <c r="J23" i="5"/>
  <c r="I23" i="5"/>
  <c r="H23" i="5"/>
  <c r="G23" i="5"/>
  <c r="F23" i="5"/>
  <c r="E23" i="5"/>
  <c r="D23" i="5"/>
  <c r="C23" i="5"/>
  <c r="B23" i="5"/>
  <c r="K22" i="5"/>
  <c r="J22" i="5"/>
  <c r="I22" i="5"/>
  <c r="H22" i="5"/>
  <c r="G22" i="5"/>
  <c r="F22" i="5"/>
  <c r="E22" i="5"/>
  <c r="D22" i="5"/>
  <c r="C22" i="5"/>
  <c r="B22" i="5"/>
  <c r="K21" i="5"/>
  <c r="J21" i="5"/>
  <c r="I21" i="5"/>
  <c r="H21" i="5"/>
  <c r="G21" i="5"/>
  <c r="F21" i="5"/>
  <c r="E21" i="5"/>
  <c r="D21" i="5"/>
  <c r="C21" i="5"/>
  <c r="B21" i="5"/>
  <c r="K20" i="5"/>
  <c r="J20" i="5"/>
  <c r="I20" i="5"/>
  <c r="H20" i="5"/>
  <c r="G20" i="5"/>
  <c r="F20" i="5"/>
  <c r="E20" i="5"/>
  <c r="D20" i="5"/>
  <c r="C20" i="5"/>
  <c r="B20" i="5"/>
  <c r="K19" i="5"/>
  <c r="J19" i="5"/>
  <c r="I19" i="5"/>
  <c r="H19" i="5"/>
  <c r="G19" i="5"/>
  <c r="F19" i="5"/>
  <c r="E19" i="5"/>
  <c r="D19" i="5"/>
  <c r="C19" i="5"/>
  <c r="B19" i="5"/>
  <c r="K18" i="5"/>
  <c r="J18" i="5"/>
  <c r="I18" i="5"/>
  <c r="H18" i="5"/>
  <c r="G18" i="5"/>
  <c r="F18" i="5"/>
  <c r="E18" i="5"/>
  <c r="D18" i="5"/>
  <c r="C18" i="5"/>
  <c r="B18" i="5"/>
  <c r="K17" i="5"/>
  <c r="J17" i="5"/>
  <c r="I17" i="5"/>
  <c r="H17" i="5"/>
  <c r="G17" i="5"/>
  <c r="F17" i="5"/>
  <c r="E17" i="5"/>
  <c r="D17" i="5"/>
  <c r="C17" i="5"/>
  <c r="B17" i="5"/>
  <c r="K16" i="5"/>
  <c r="J16" i="5"/>
  <c r="I16" i="5"/>
  <c r="H16" i="5"/>
  <c r="G16" i="5"/>
  <c r="F16" i="5"/>
  <c r="E16" i="5"/>
  <c r="D16" i="5"/>
  <c r="C16" i="5"/>
  <c r="B16" i="5"/>
  <c r="K15" i="5"/>
  <c r="J15" i="5"/>
  <c r="I15" i="5"/>
  <c r="H15" i="5"/>
  <c r="G15" i="5"/>
  <c r="F15" i="5"/>
  <c r="E15" i="5"/>
  <c r="D15" i="5"/>
  <c r="C15" i="5"/>
  <c r="B15" i="5"/>
  <c r="K14" i="5"/>
  <c r="J14" i="5"/>
  <c r="I14" i="5"/>
  <c r="H14" i="5"/>
  <c r="G14" i="5"/>
  <c r="F14" i="5"/>
  <c r="E14" i="5"/>
  <c r="D14" i="5"/>
  <c r="C14" i="5"/>
  <c r="B14" i="5"/>
  <c r="K13" i="5"/>
  <c r="J13" i="5"/>
  <c r="I13" i="5"/>
  <c r="H13" i="5"/>
  <c r="G13" i="5"/>
  <c r="F13" i="5"/>
  <c r="E13" i="5"/>
  <c r="D13" i="5"/>
  <c r="C13" i="5"/>
  <c r="B13" i="5"/>
  <c r="K12" i="5"/>
  <c r="J12" i="5"/>
  <c r="I12" i="5"/>
  <c r="H12" i="5"/>
  <c r="G12" i="5"/>
  <c r="F12" i="5"/>
  <c r="E12" i="5"/>
  <c r="D12" i="5"/>
  <c r="C12" i="5"/>
  <c r="B12" i="5"/>
  <c r="K11" i="5"/>
  <c r="J11" i="5"/>
  <c r="I11" i="5"/>
  <c r="H11" i="5"/>
  <c r="G11" i="5"/>
  <c r="F11" i="5"/>
  <c r="E11" i="5"/>
  <c r="D11" i="5"/>
  <c r="C11" i="5"/>
  <c r="B11" i="5"/>
  <c r="K10" i="5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7" i="5"/>
  <c r="D7" i="5"/>
  <c r="E7" i="5" s="1"/>
  <c r="F7" i="5" s="1"/>
  <c r="G7" i="5" s="1"/>
  <c r="H7" i="5" s="1"/>
  <c r="I7" i="5" s="1"/>
  <c r="J7" i="5" s="1"/>
  <c r="C7" i="5"/>
  <c r="A10" i="5"/>
  <c r="A23" i="15" l="1"/>
  <c r="A23" i="12"/>
  <c r="A22" i="11"/>
  <c r="A22" i="10"/>
  <c r="D7" i="7"/>
  <c r="A11" i="7"/>
  <c r="A11" i="6"/>
  <c r="A11" i="5"/>
  <c r="A24" i="15" l="1"/>
  <c r="B24" i="12"/>
  <c r="D24" i="12"/>
  <c r="C24" i="12"/>
  <c r="E24" i="12"/>
  <c r="F24" i="12"/>
  <c r="G24" i="12"/>
  <c r="H24" i="12"/>
  <c r="I24" i="12"/>
  <c r="J24" i="12"/>
  <c r="K24" i="12"/>
  <c r="A23" i="11"/>
  <c r="A23" i="10"/>
  <c r="K29" i="7"/>
  <c r="E7" i="7"/>
  <c r="F7" i="7" s="1"/>
  <c r="A12" i="7"/>
  <c r="A12" i="6"/>
  <c r="K24" i="5"/>
  <c r="A12" i="5"/>
  <c r="A25" i="15" l="1"/>
  <c r="A24" i="11"/>
  <c r="A24" i="10"/>
  <c r="G7" i="7"/>
  <c r="A13" i="7"/>
  <c r="A13" i="6"/>
  <c r="A13" i="5"/>
  <c r="A26" i="15" l="1"/>
  <c r="A25" i="11"/>
  <c r="A25" i="10"/>
  <c r="H7" i="7"/>
  <c r="A14" i="7"/>
  <c r="A14" i="6"/>
  <c r="A14" i="5"/>
  <c r="A27" i="15" l="1"/>
  <c r="A26" i="11"/>
  <c r="A26" i="10"/>
  <c r="I7" i="7"/>
  <c r="A15" i="7"/>
  <c r="A15" i="6"/>
  <c r="A15" i="5"/>
  <c r="A28" i="15" l="1"/>
  <c r="A27" i="11"/>
  <c r="A27" i="10"/>
  <c r="J7" i="7"/>
  <c r="A16" i="7"/>
  <c r="A16" i="6"/>
  <c r="A16" i="5"/>
  <c r="B29" i="15" l="1"/>
  <c r="C29" i="15"/>
  <c r="D29" i="15"/>
  <c r="E29" i="15"/>
  <c r="F29" i="15"/>
  <c r="G29" i="15"/>
  <c r="H29" i="15"/>
  <c r="I29" i="15"/>
  <c r="J29" i="15"/>
  <c r="K29" i="15"/>
  <c r="A28" i="11"/>
  <c r="A28" i="10"/>
  <c r="A17" i="7"/>
  <c r="A17" i="6"/>
  <c r="A17" i="5"/>
  <c r="A29" i="11" l="1"/>
  <c r="A29" i="10"/>
  <c r="A18" i="7"/>
  <c r="A18" i="6"/>
  <c r="A18" i="5"/>
  <c r="A30" i="11" l="1"/>
  <c r="A30" i="10"/>
  <c r="A19" i="7"/>
  <c r="A19" i="6"/>
  <c r="A19" i="5"/>
  <c r="A31" i="11" l="1"/>
  <c r="A31" i="10"/>
  <c r="A20" i="7"/>
  <c r="A20" i="6"/>
  <c r="A20" i="5"/>
  <c r="A32" i="11" l="1"/>
  <c r="A32" i="10"/>
  <c r="A21" i="7"/>
  <c r="A21" i="6"/>
  <c r="A21" i="5"/>
  <c r="A33" i="11" l="1"/>
  <c r="A33" i="10"/>
  <c r="A22" i="7"/>
  <c r="A22" i="6"/>
  <c r="A22" i="5"/>
  <c r="A34" i="11" l="1"/>
  <c r="A34" i="10"/>
  <c r="A23" i="7"/>
  <c r="A23" i="6"/>
  <c r="A23" i="5"/>
  <c r="A35" i="11" l="1"/>
  <c r="A35" i="10"/>
  <c r="A24" i="7"/>
  <c r="A24" i="6"/>
  <c r="A36" i="11" l="1"/>
  <c r="A36" i="10"/>
  <c r="A25" i="7"/>
  <c r="A25" i="6"/>
  <c r="A37" i="11" l="1"/>
  <c r="A37" i="10"/>
  <c r="A26" i="7"/>
  <c r="A26" i="6"/>
  <c r="A38" i="11" l="1"/>
  <c r="A38" i="10"/>
  <c r="A27" i="7"/>
  <c r="A27" i="6"/>
  <c r="A39" i="11" l="1"/>
  <c r="A39" i="10"/>
  <c r="A28" i="7"/>
  <c r="A28" i="6"/>
  <c r="A40" i="11" l="1"/>
  <c r="A40" i="10"/>
  <c r="A29" i="6"/>
  <c r="A41" i="11" l="1"/>
  <c r="A41" i="10"/>
  <c r="A30" i="6"/>
  <c r="A42" i="11" l="1"/>
  <c r="A42" i="10"/>
  <c r="A31" i="6"/>
  <c r="A43" i="11" l="1"/>
  <c r="A43" i="10"/>
  <c r="A32" i="6"/>
  <c r="A44" i="11" l="1"/>
  <c r="A44" i="10"/>
  <c r="A33" i="6"/>
  <c r="A45" i="11" l="1"/>
  <c r="A45" i="10"/>
  <c r="A34" i="6"/>
  <c r="A46" i="11" l="1"/>
  <c r="A46" i="10"/>
  <c r="A35" i="6"/>
  <c r="A47" i="11" l="1"/>
  <c r="A47" i="10"/>
  <c r="A36" i="6"/>
  <c r="A48" i="11" l="1"/>
  <c r="A48" i="10"/>
  <c r="A37" i="6"/>
  <c r="C49" i="11" l="1"/>
  <c r="B49" i="11"/>
  <c r="D49" i="11"/>
  <c r="E49" i="11"/>
  <c r="C49" i="10"/>
  <c r="B49" i="10"/>
  <c r="D49" i="10"/>
  <c r="E49" i="10"/>
  <c r="F49" i="10"/>
  <c r="G49" i="10"/>
  <c r="H49" i="10"/>
  <c r="I49" i="10"/>
  <c r="A38" i="6"/>
  <c r="A39" i="6" l="1"/>
  <c r="A40" i="6" l="1"/>
  <c r="A41" i="6" l="1"/>
  <c r="A42" i="6" l="1"/>
  <c r="A43" i="6" l="1"/>
  <c r="A44" i="6" l="1"/>
  <c r="A45" i="6" l="1"/>
  <c r="A46" i="6" l="1"/>
  <c r="A47" i="6" l="1"/>
  <c r="A48" i="6" l="1"/>
  <c r="D29" i="7" l="1"/>
  <c r="C29" i="7"/>
  <c r="J29" i="7"/>
  <c r="B29" i="7"/>
  <c r="I29" i="7"/>
  <c r="E29" i="7"/>
  <c r="H29" i="7"/>
  <c r="G29" i="7"/>
  <c r="F29" i="7"/>
  <c r="D49" i="6"/>
  <c r="C49" i="6"/>
  <c r="J49" i="6"/>
  <c r="B49" i="6"/>
  <c r="F49" i="6"/>
  <c r="I49" i="6"/>
  <c r="H49" i="6"/>
  <c r="G49" i="6"/>
  <c r="E49" i="6"/>
  <c r="D24" i="5"/>
  <c r="C24" i="5"/>
  <c r="H24" i="5"/>
  <c r="J24" i="5"/>
  <c r="B24" i="5"/>
  <c r="I24" i="5"/>
  <c r="G24" i="5"/>
  <c r="F24" i="5"/>
  <c r="E24" i="5"/>
  <c r="B9" i="4" l="1"/>
  <c r="C7" i="4"/>
  <c r="A10" i="4"/>
  <c r="K18" i="3"/>
  <c r="J18" i="3"/>
  <c r="I18" i="3"/>
  <c r="H18" i="3"/>
  <c r="G18" i="3"/>
  <c r="F18" i="3"/>
  <c r="E18" i="3"/>
  <c r="D18" i="3"/>
  <c r="C18" i="3"/>
  <c r="B18" i="3"/>
  <c r="K17" i="3"/>
  <c r="J17" i="3"/>
  <c r="I17" i="3"/>
  <c r="H17" i="3"/>
  <c r="G17" i="3"/>
  <c r="F17" i="3"/>
  <c r="E17" i="3"/>
  <c r="D17" i="3"/>
  <c r="C17" i="3"/>
  <c r="B17" i="3"/>
  <c r="K16" i="3"/>
  <c r="J16" i="3"/>
  <c r="I16" i="3"/>
  <c r="H16" i="3"/>
  <c r="G16" i="3"/>
  <c r="F16" i="3"/>
  <c r="E16" i="3"/>
  <c r="D16" i="3"/>
  <c r="C16" i="3"/>
  <c r="B16" i="3"/>
  <c r="K15" i="3"/>
  <c r="J15" i="3"/>
  <c r="I15" i="3"/>
  <c r="H15" i="3"/>
  <c r="G15" i="3"/>
  <c r="F15" i="3"/>
  <c r="E15" i="3"/>
  <c r="D15" i="3"/>
  <c r="C15" i="3"/>
  <c r="B15" i="3"/>
  <c r="K14" i="3"/>
  <c r="J14" i="3"/>
  <c r="I14" i="3"/>
  <c r="H14" i="3"/>
  <c r="G14" i="3"/>
  <c r="F14" i="3"/>
  <c r="E14" i="3"/>
  <c r="D14" i="3"/>
  <c r="C14" i="3"/>
  <c r="B14" i="3"/>
  <c r="K13" i="3"/>
  <c r="J13" i="3"/>
  <c r="I13" i="3"/>
  <c r="H13" i="3"/>
  <c r="G13" i="3"/>
  <c r="F13" i="3"/>
  <c r="E13" i="3"/>
  <c r="D13" i="3"/>
  <c r="C13" i="3"/>
  <c r="B13" i="3"/>
  <c r="K12" i="3"/>
  <c r="J12" i="3"/>
  <c r="I12" i="3"/>
  <c r="H12" i="3"/>
  <c r="G12" i="3"/>
  <c r="F12" i="3"/>
  <c r="E12" i="3"/>
  <c r="D12" i="3"/>
  <c r="C12" i="3"/>
  <c r="B12" i="3"/>
  <c r="K11" i="3"/>
  <c r="J11" i="3"/>
  <c r="I11" i="3"/>
  <c r="H11" i="3"/>
  <c r="G11" i="3"/>
  <c r="F11" i="3"/>
  <c r="E11" i="3"/>
  <c r="D11" i="3"/>
  <c r="C11" i="3"/>
  <c r="B11" i="3"/>
  <c r="K10" i="3"/>
  <c r="J10" i="3"/>
  <c r="I10" i="3"/>
  <c r="H10" i="3"/>
  <c r="G10" i="3"/>
  <c r="F10" i="3"/>
  <c r="E10" i="3"/>
  <c r="D10" i="3"/>
  <c r="C10" i="3"/>
  <c r="B10" i="3"/>
  <c r="K9" i="3"/>
  <c r="J9" i="3"/>
  <c r="I9" i="3"/>
  <c r="H9" i="3"/>
  <c r="G9" i="3"/>
  <c r="F9" i="3"/>
  <c r="E9" i="3"/>
  <c r="D9" i="3"/>
  <c r="C9" i="3"/>
  <c r="B9" i="3"/>
  <c r="M18" i="3"/>
  <c r="M17" i="3"/>
  <c r="M16" i="3"/>
  <c r="M15" i="3"/>
  <c r="M14" i="3"/>
  <c r="M13" i="3"/>
  <c r="M12" i="3"/>
  <c r="M11" i="3"/>
  <c r="M10" i="3"/>
  <c r="M9" i="3"/>
  <c r="A10" i="3"/>
  <c r="D7" i="3"/>
  <c r="C7" i="3"/>
  <c r="C18" i="2"/>
  <c r="C17" i="2"/>
  <c r="C16" i="2"/>
  <c r="C15" i="2"/>
  <c r="C14" i="2"/>
  <c r="B14" i="2"/>
  <c r="D13" i="2"/>
  <c r="C13" i="2"/>
  <c r="B13" i="2"/>
  <c r="D12" i="2"/>
  <c r="C12" i="2"/>
  <c r="B12" i="2"/>
  <c r="C11" i="2"/>
  <c r="B11" i="2"/>
  <c r="D10" i="2"/>
  <c r="C10" i="2"/>
  <c r="B10" i="2"/>
  <c r="D9" i="2"/>
  <c r="C9" i="2"/>
  <c r="B9" i="2"/>
  <c r="D18" i="2"/>
  <c r="B7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D14" i="2" l="1"/>
  <c r="D15" i="2"/>
  <c r="D16" i="2"/>
  <c r="D17" i="2"/>
  <c r="E7" i="2"/>
  <c r="D25" i="2"/>
  <c r="D31" i="2"/>
  <c r="D38" i="2"/>
  <c r="D43" i="2"/>
  <c r="D48" i="2"/>
  <c r="D20" i="2"/>
  <c r="D22" i="2"/>
  <c r="D26" i="2"/>
  <c r="D29" i="2"/>
  <c r="D35" i="2"/>
  <c r="D40" i="2"/>
  <c r="D45" i="2"/>
  <c r="D19" i="2"/>
  <c r="D28" i="2"/>
  <c r="D33" i="2"/>
  <c r="D36" i="2"/>
  <c r="D42" i="2"/>
  <c r="D47" i="2"/>
  <c r="D21" i="2"/>
  <c r="D23" i="2"/>
  <c r="D27" i="2"/>
  <c r="D30" i="2"/>
  <c r="D34" i="2"/>
  <c r="D39" i="2"/>
  <c r="D44" i="2"/>
  <c r="D11" i="2"/>
  <c r="D50" i="2"/>
  <c r="D24" i="2"/>
  <c r="D32" i="2"/>
  <c r="D37" i="2"/>
  <c r="D41" i="2"/>
  <c r="D46" i="2"/>
  <c r="C49" i="2"/>
  <c r="D7" i="4"/>
  <c r="E7" i="4" s="1"/>
  <c r="F7" i="4" s="1"/>
  <c r="G7" i="4" s="1"/>
  <c r="H7" i="4" s="1"/>
  <c r="I7" i="4" s="1"/>
  <c r="A11" i="4"/>
  <c r="A12" i="4" s="1"/>
  <c r="A13" i="4" s="1"/>
  <c r="E7" i="3"/>
  <c r="A11" i="3"/>
  <c r="D49" i="2" l="1"/>
  <c r="F7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50" i="2"/>
  <c r="E12" i="2"/>
  <c r="E18" i="2"/>
  <c r="E17" i="2"/>
  <c r="E16" i="2"/>
  <c r="E15" i="2"/>
  <c r="E14" i="2"/>
  <c r="E10" i="2"/>
  <c r="E13" i="2"/>
  <c r="E11" i="2"/>
  <c r="E9" i="2"/>
  <c r="A14" i="4"/>
  <c r="A12" i="3"/>
  <c r="F7" i="3"/>
  <c r="E49" i="2" l="1"/>
  <c r="G7" i="2"/>
  <c r="F50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10" i="2"/>
  <c r="F18" i="2"/>
  <c r="F17" i="2"/>
  <c r="F16" i="2"/>
  <c r="F15" i="2"/>
  <c r="F14" i="2"/>
  <c r="F13" i="2"/>
  <c r="F12" i="2"/>
  <c r="F11" i="2"/>
  <c r="F9" i="2"/>
  <c r="A15" i="4"/>
  <c r="A13" i="3"/>
  <c r="G7" i="3"/>
  <c r="F49" i="2" l="1"/>
  <c r="H7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50" i="2"/>
  <c r="G18" i="2"/>
  <c r="G17" i="2"/>
  <c r="G16" i="2"/>
  <c r="G15" i="2"/>
  <c r="G14" i="2"/>
  <c r="G13" i="2"/>
  <c r="G9" i="2"/>
  <c r="G12" i="2"/>
  <c r="G11" i="2"/>
  <c r="G10" i="2"/>
  <c r="A16" i="4"/>
  <c r="A14" i="3"/>
  <c r="H7" i="3"/>
  <c r="G49" i="2" l="1"/>
  <c r="I7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50" i="2"/>
  <c r="H13" i="2"/>
  <c r="H15" i="2"/>
  <c r="H12" i="2"/>
  <c r="H16" i="2"/>
  <c r="H11" i="2"/>
  <c r="H10" i="2"/>
  <c r="H17" i="2"/>
  <c r="H9" i="2"/>
  <c r="H18" i="2"/>
  <c r="H14" i="2"/>
  <c r="A17" i="4"/>
  <c r="I7" i="3"/>
  <c r="A15" i="3"/>
  <c r="H49" i="2" l="1"/>
  <c r="J7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50" i="2"/>
  <c r="I12" i="2"/>
  <c r="I17" i="2"/>
  <c r="I11" i="2"/>
  <c r="I10" i="2"/>
  <c r="I15" i="2"/>
  <c r="I9" i="2"/>
  <c r="I18" i="2"/>
  <c r="I14" i="2"/>
  <c r="I13" i="2"/>
  <c r="I16" i="2"/>
  <c r="A18" i="4"/>
  <c r="J7" i="3"/>
  <c r="A16" i="3"/>
  <c r="I49" i="2" l="1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50" i="2"/>
  <c r="J11" i="2"/>
  <c r="J10" i="2"/>
  <c r="J9" i="2"/>
  <c r="J16" i="2"/>
  <c r="J12" i="2"/>
  <c r="J17" i="2"/>
  <c r="J14" i="2"/>
  <c r="J18" i="2"/>
  <c r="J15" i="2"/>
  <c r="J13" i="2"/>
  <c r="A19" i="4"/>
  <c r="A17" i="3"/>
  <c r="K7" i="3"/>
  <c r="J49" i="2" l="1"/>
  <c r="A20" i="4"/>
  <c r="A18" i="3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M18" i="1" l="1"/>
  <c r="M17" i="1"/>
  <c r="M16" i="1"/>
  <c r="M15" i="1"/>
  <c r="M14" i="1"/>
  <c r="M13" i="1"/>
  <c r="M12" i="1"/>
  <c r="M11" i="1"/>
  <c r="M10" i="1"/>
  <c r="M9" i="1"/>
  <c r="C17" i="1"/>
  <c r="C13" i="1"/>
  <c r="C7" i="1"/>
  <c r="C16" i="1" s="1"/>
  <c r="A11" i="1"/>
  <c r="A12" i="1" s="1"/>
  <c r="A13" i="1" s="1"/>
  <c r="A14" i="1" s="1"/>
  <c r="A15" i="1" s="1"/>
  <c r="A16" i="1" s="1"/>
  <c r="A17" i="1" s="1"/>
  <c r="A18" i="1" s="1"/>
  <c r="A10" i="1"/>
  <c r="C10" i="1" l="1"/>
  <c r="C14" i="1"/>
  <c r="C18" i="1"/>
  <c r="C11" i="1"/>
  <c r="C15" i="1"/>
  <c r="D7" i="1"/>
  <c r="C12" i="1"/>
  <c r="E7" i="1" l="1"/>
  <c r="D15" i="1"/>
  <c r="D11" i="1"/>
  <c r="D9" i="1"/>
  <c r="D14" i="1"/>
  <c r="D18" i="1"/>
  <c r="D10" i="1"/>
  <c r="D17" i="1"/>
  <c r="D13" i="1"/>
  <c r="D16" i="1"/>
  <c r="D12" i="1"/>
  <c r="F7" i="1" l="1"/>
  <c r="E15" i="1"/>
  <c r="E11" i="1"/>
  <c r="E18" i="1"/>
  <c r="E14" i="1"/>
  <c r="E10" i="1"/>
  <c r="E12" i="1"/>
  <c r="E17" i="1"/>
  <c r="E13" i="1"/>
  <c r="E9" i="1"/>
  <c r="E16" i="1"/>
  <c r="G7" i="1" l="1"/>
  <c r="F14" i="1"/>
  <c r="F18" i="1"/>
  <c r="F10" i="1"/>
  <c r="F13" i="1"/>
  <c r="F17" i="1"/>
  <c r="F9" i="1"/>
  <c r="F16" i="1"/>
  <c r="F12" i="1"/>
  <c r="F15" i="1"/>
  <c r="F11" i="1"/>
  <c r="H7" i="1" l="1"/>
  <c r="G18" i="1"/>
  <c r="G14" i="1"/>
  <c r="G10" i="1"/>
  <c r="G17" i="1"/>
  <c r="G13" i="1"/>
  <c r="G9" i="1"/>
  <c r="G16" i="1"/>
  <c r="G12" i="1"/>
  <c r="G15" i="1"/>
  <c r="G11" i="1"/>
  <c r="I7" i="1" l="1"/>
  <c r="H13" i="1"/>
  <c r="H9" i="1"/>
  <c r="H17" i="1"/>
  <c r="H12" i="1"/>
  <c r="H16" i="1"/>
  <c r="H11" i="1"/>
  <c r="H15" i="1"/>
  <c r="H18" i="1"/>
  <c r="H14" i="1"/>
  <c r="H10" i="1"/>
  <c r="J7" i="1" l="1"/>
  <c r="I17" i="1"/>
  <c r="I13" i="1"/>
  <c r="I9" i="1"/>
  <c r="I18" i="1"/>
  <c r="I10" i="1"/>
  <c r="I16" i="1"/>
  <c r="I12" i="1"/>
  <c r="I15" i="1"/>
  <c r="I11" i="1"/>
  <c r="I14" i="1"/>
  <c r="K7" i="1" l="1"/>
  <c r="J12" i="1"/>
  <c r="J16" i="1"/>
  <c r="J11" i="1"/>
  <c r="J15" i="1"/>
  <c r="J14" i="1"/>
  <c r="J10" i="1"/>
  <c r="J18" i="1"/>
  <c r="J17" i="1"/>
  <c r="J13" i="1"/>
  <c r="J9" i="1"/>
  <c r="K16" i="1" l="1"/>
  <c r="L16" i="1" s="1"/>
  <c r="K12" i="1"/>
  <c r="L12" i="1" s="1"/>
  <c r="K9" i="1"/>
  <c r="L9" i="1" s="1"/>
  <c r="K13" i="1"/>
  <c r="L13" i="1" s="1"/>
  <c r="K15" i="1"/>
  <c r="L15" i="1" s="1"/>
  <c r="K11" i="1"/>
  <c r="L11" i="1" s="1"/>
  <c r="K18" i="1"/>
  <c r="L18" i="1" s="1"/>
  <c r="K14" i="1"/>
  <c r="L14" i="1" s="1"/>
  <c r="K10" i="1"/>
  <c r="L10" i="1" s="1"/>
  <c r="K17" i="1"/>
  <c r="L17" i="1" s="1"/>
</calcChain>
</file>

<file path=xl/sharedStrings.xml><?xml version="1.0" encoding="utf-8"?>
<sst xmlns="http://schemas.openxmlformats.org/spreadsheetml/2006/main" count="76" uniqueCount="24">
  <si>
    <t>Вариант №1</t>
  </si>
  <si>
    <t>Расчет суммы ряда</t>
  </si>
  <si>
    <t>S</t>
  </si>
  <si>
    <t>Y</t>
  </si>
  <si>
    <t xml:space="preserve"> </t>
  </si>
  <si>
    <t>Вариант №2</t>
  </si>
  <si>
    <t>Вариант №3</t>
  </si>
  <si>
    <t>Вариант №4</t>
  </si>
  <si>
    <t>Вариант №5</t>
  </si>
  <si>
    <t>Вариант №6</t>
  </si>
  <si>
    <t>Вариант №7</t>
  </si>
  <si>
    <t>Вариант №8</t>
  </si>
  <si>
    <t>Вариант №9</t>
  </si>
  <si>
    <t>Вариант №10</t>
  </si>
  <si>
    <t>Вариант №11</t>
  </si>
  <si>
    <t>Вариант №12</t>
  </si>
  <si>
    <t>Вариант №13</t>
  </si>
  <si>
    <t>Вариант №14</t>
  </si>
  <si>
    <t>Вариант №15</t>
  </si>
  <si>
    <t xml:space="preserve"> i           x </t>
  </si>
  <si>
    <t xml:space="preserve"> i          x </t>
  </si>
  <si>
    <t xml:space="preserve"> x           i </t>
  </si>
  <si>
    <t xml:space="preserve"> x         i </t>
  </si>
  <si>
    <t xml:space="preserve"> i         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</si>
</sst>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charset val="204"/>
      <scheme val="minor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0" xfId="0" applyFont="1" applyBorder="1"/>
    <xf numFmtId="0" fontId="4" fillId="0" borderId="12" xfId="0" applyFont="1" applyBorder="1"/>
    <xf numFmtId="164" fontId="4" fillId="0" borderId="10" xfId="0" applyNumberFormat="1" applyFont="1" applyBorder="1"/>
    <xf numFmtId="164" fontId="4" fillId="0" borderId="12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11" xfId="0" applyFont="1" applyBorder="1" applyAlignment="1"/>
    <xf numFmtId="0" fontId="2" fillId="0" borderId="0" xfId="0" applyFont="1" applyBorder="1" applyAlignment="1"/>
    <xf numFmtId="0" fontId="0" fillId="0" borderId="0" xfId="0" applyBorder="1"/>
    <xf numFmtId="164" fontId="4" fillId="0" borderId="4" xfId="0" applyNumberFormat="1" applyFont="1" applyBorder="1"/>
    <xf numFmtId="0" fontId="4" fillId="0" borderId="17" xfId="0" applyFont="1" applyBorder="1"/>
    <xf numFmtId="0" fontId="4" fillId="0" borderId="18" xfId="0" applyFont="1" applyBorder="1"/>
    <xf numFmtId="164" fontId="4" fillId="0" borderId="18" xfId="0" applyNumberFormat="1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</cellXfs>
  <cellStyles count="1">
    <cellStyle name="Обычный" xfId="0" builtinId="0"/>
  </cellStyles>
  <dxfs count="63"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theme="8" tint="0.59996337778862885"/>
        </patternFill>
      </fill>
    </dxf>
    <dxf>
      <fill>
        <patternFill>
          <fgColor indexed="64"/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Вариант1!$L$9:$L$18</c:f>
              <c:numCache>
                <c:formatCode>0.0000</c:formatCode>
                <c:ptCount val="10"/>
                <c:pt idx="0">
                  <c:v>1.1486983549970342</c:v>
                </c:pt>
                <c:pt idx="1">
                  <c:v>1.3195079107721357</c:v>
                </c:pt>
                <c:pt idx="2">
                  <c:v>1.5157165664660692</c:v>
                </c:pt>
                <c:pt idx="3">
                  <c:v>1.7411011257947033</c:v>
                </c:pt>
                <c:pt idx="4">
                  <c:v>1.999999992473416</c:v>
                </c:pt>
                <c:pt idx="5">
                  <c:v>2.2973966627643234</c:v>
                </c:pt>
                <c:pt idx="6">
                  <c:v>2.6390155979041556</c:v>
                </c:pt>
                <c:pt idx="7">
                  <c:v>3.0314322712211523</c:v>
                </c:pt>
                <c:pt idx="8">
                  <c:v>3.482199415710165</c:v>
                </c:pt>
                <c:pt idx="9">
                  <c:v>3.9999917477063711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4-40AF-AC1C-840E50DED38E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Вариант1!$M$9:$M$18</c:f>
              <c:numCache>
                <c:formatCode>General</c:formatCode>
                <c:ptCount val="10"/>
                <c:pt idx="0">
                  <c:v>1.1486983549970351</c:v>
                </c:pt>
                <c:pt idx="1">
                  <c:v>1.3195079107728942</c:v>
                </c:pt>
                <c:pt idx="2">
                  <c:v>1.5157165665103982</c:v>
                </c:pt>
                <c:pt idx="3">
                  <c:v>1.7411011265922482</c:v>
                </c:pt>
                <c:pt idx="4">
                  <c:v>2</c:v>
                </c:pt>
                <c:pt idx="5">
                  <c:v>2.2973967099940702</c:v>
                </c:pt>
                <c:pt idx="6">
                  <c:v>2.6390158215457884</c:v>
                </c:pt>
                <c:pt idx="7">
                  <c:v>3.031433133020796</c:v>
                </c:pt>
                <c:pt idx="8">
                  <c:v>3.4822022531844965</c:v>
                </c:pt>
                <c:pt idx="9">
                  <c:v>3.9999999999999991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4-40AF-AC1C-840E50DED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592640"/>
        <c:axId val="194935536"/>
      </c:lineChart>
      <c:catAx>
        <c:axId val="67759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935536"/>
        <c:crosses val="autoZero"/>
        <c:auto val="1"/>
        <c:lblAlgn val="ctr"/>
        <c:lblOffset val="100"/>
        <c:noMultiLvlLbl val="0"/>
      </c:catAx>
      <c:valAx>
        <c:axId val="1949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59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Вариант2!$B$49:$J$49</c:f>
              <c:numCache>
                <c:formatCode>General</c:formatCode>
                <c:ptCount val="9"/>
                <c:pt idx="0">
                  <c:v>0.49209014786058564</c:v>
                </c:pt>
                <c:pt idx="1">
                  <c:v>-0.14970488260430614</c:v>
                </c:pt>
                <c:pt idx="2">
                  <c:v>-0.46895036172614296</c:v>
                </c:pt>
                <c:pt idx="3">
                  <c:v>-0.63063806543531009</c:v>
                </c:pt>
                <c:pt idx="4">
                  <c:v>-0.68080338179269406</c:v>
                </c:pt>
                <c:pt idx="5">
                  <c:v>-0.63063806543530976</c:v>
                </c:pt>
                <c:pt idx="6">
                  <c:v>-0.46895036172614268</c:v>
                </c:pt>
                <c:pt idx="7">
                  <c:v>-0.14970488260430628</c:v>
                </c:pt>
                <c:pt idx="8">
                  <c:v>0.49209014786058553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90-4156-ADC1-E770546ADB09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Вариант2!$B$50:$J$50</c:f>
              <c:numCache>
                <c:formatCode>General</c:formatCode>
                <c:ptCount val="9"/>
                <c:pt idx="0">
                  <c:v>0.48121182505960353</c:v>
                </c:pt>
                <c:pt idx="1">
                  <c:v>-0.16175356557872339</c:v>
                </c:pt>
                <c:pt idx="2">
                  <c:v>-0.48121182505960347</c:v>
                </c:pt>
                <c:pt idx="3">
                  <c:v>-0.64296539063832681</c:v>
                </c:pt>
                <c:pt idx="4">
                  <c:v>-0.69314718055994529</c:v>
                </c:pt>
                <c:pt idx="5">
                  <c:v>-0.64296539063832692</c:v>
                </c:pt>
                <c:pt idx="6">
                  <c:v>-0.48121182505960347</c:v>
                </c:pt>
                <c:pt idx="7">
                  <c:v>-0.16175356557872358</c:v>
                </c:pt>
                <c:pt idx="8">
                  <c:v>0.48121182505960319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90-4156-ADC1-E770546AD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75712"/>
        <c:axId val="316421632"/>
      </c:lineChart>
      <c:catAx>
        <c:axId val="90897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6421632"/>
        <c:crosses val="autoZero"/>
        <c:auto val="1"/>
        <c:lblAlgn val="ctr"/>
        <c:lblOffset val="100"/>
        <c:noMultiLvlLbl val="0"/>
      </c:catAx>
      <c:valAx>
        <c:axId val="3164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97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Вариант3!$L$9:$L$18</c:f>
              <c:numCache>
                <c:formatCode>0.0000</c:formatCode>
                <c:ptCount val="10"/>
                <c:pt idx="0">
                  <c:v>1.0669689057299683</c:v>
                </c:pt>
                <c:pt idx="1">
                  <c:v>1.1294793810858186</c:v>
                </c:pt>
                <c:pt idx="2">
                  <c:v>1.1878971618095628</c:v>
                </c:pt>
                <c:pt idx="3">
                  <c:v>1.2426081196859591</c:v>
                </c:pt>
                <c:pt idx="4">
                  <c:v>1.2940169638234178</c:v>
                </c:pt>
                <c:pt idx="5">
                  <c:v>1.3425460735653374</c:v>
                </c:pt>
                <c:pt idx="6">
                  <c:v>1.3886344690912724</c:v>
                </c:pt>
                <c:pt idx="7">
                  <c:v>1.4327369253822171</c:v>
                </c:pt>
                <c:pt idx="8">
                  <c:v>1.4753232348761316</c:v>
                </c:pt>
                <c:pt idx="9">
                  <c:v>1.5168776238285706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0-4618-AA56-63806BE8CE3D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Вариант3!$M$9:$M$18</c:f>
              <c:numCache>
                <c:formatCode>General</c:formatCode>
                <c:ptCount val="10"/>
                <c:pt idx="0">
                  <c:v>1.0717734625362931</c:v>
                </c:pt>
                <c:pt idx="1">
                  <c:v>1.1486983549970351</c:v>
                </c:pt>
                <c:pt idx="2">
                  <c:v>1.2311444133449163</c:v>
                </c:pt>
                <c:pt idx="3">
                  <c:v>1.3195079107728942</c:v>
                </c:pt>
                <c:pt idx="4">
                  <c:v>1.4142135623730951</c:v>
                </c:pt>
                <c:pt idx="5">
                  <c:v>1.515716566510398</c:v>
                </c:pt>
                <c:pt idx="6">
                  <c:v>1.6245047927124709</c:v>
                </c:pt>
                <c:pt idx="7">
                  <c:v>1.7411011265922482</c:v>
                </c:pt>
                <c:pt idx="8">
                  <c:v>1.8660659830736148</c:v>
                </c:pt>
                <c:pt idx="9">
                  <c:v>1.9999999999999998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C0-4618-AA56-63806BE8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65632"/>
        <c:axId val="641196208"/>
      </c:lineChart>
      <c:catAx>
        <c:axId val="90896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1196208"/>
        <c:crosses val="autoZero"/>
        <c:auto val="1"/>
        <c:lblAlgn val="ctr"/>
        <c:lblOffset val="100"/>
        <c:noMultiLvlLbl val="0"/>
      </c:catAx>
      <c:valAx>
        <c:axId val="6411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96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Вариант4!$B$49:$J$49</c:f>
              <c:numCache>
                <c:formatCode>General</c:formatCode>
                <c:ptCount val="9"/>
                <c:pt idx="0">
                  <c:v>-0.49469624166634441</c:v>
                </c:pt>
                <c:pt idx="1">
                  <c:v>-0.39877611995736451</c:v>
                </c:pt>
                <c:pt idx="2">
                  <c:v>-0.30748469974796061</c:v>
                </c:pt>
                <c:pt idx="3">
                  <c:v>-0.22314355131420976</c:v>
                </c:pt>
                <c:pt idx="4">
                  <c:v>-0.14842000511827336</c:v>
                </c:pt>
                <c:pt idx="5">
                  <c:v>-8.6177696241052371E-2</c:v>
                </c:pt>
                <c:pt idx="6">
                  <c:v>-3.9220713153281322E-2</c:v>
                </c:pt>
                <c:pt idx="7">
                  <c:v>-9.9503308531681007E-3</c:v>
                </c:pt>
                <c:pt idx="8">
                  <c:v>-1.2325951644078309E-32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BB-4543-A026-3E15F6A6B739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Вариант4!$B$50:$J$50</c:f>
              <c:numCache>
                <c:formatCode>General</c:formatCode>
                <c:ptCount val="9"/>
                <c:pt idx="0">
                  <c:v>-0.49469624183610705</c:v>
                </c:pt>
                <c:pt idx="1">
                  <c:v>-0.39877611995736773</c:v>
                </c:pt>
                <c:pt idx="2">
                  <c:v>-0.30748469974796055</c:v>
                </c:pt>
                <c:pt idx="3">
                  <c:v>-0.22314355131420971</c:v>
                </c:pt>
                <c:pt idx="4">
                  <c:v>-0.14842000511827333</c:v>
                </c:pt>
                <c:pt idx="5">
                  <c:v>-8.6177696241052398E-2</c:v>
                </c:pt>
                <c:pt idx="6">
                  <c:v>-3.9220713153281385E-2</c:v>
                </c:pt>
                <c:pt idx="7">
                  <c:v>-9.950330853168092E-3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BB-4543-A026-3E15F6A6B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67552"/>
        <c:axId val="670903200"/>
      </c:lineChart>
      <c:catAx>
        <c:axId val="90896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903200"/>
        <c:crosses val="autoZero"/>
        <c:auto val="1"/>
        <c:lblAlgn val="ctr"/>
        <c:lblOffset val="100"/>
        <c:noMultiLvlLbl val="0"/>
      </c:catAx>
      <c:valAx>
        <c:axId val="6709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96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Вариант5!$B$24:$K$24</c:f>
              <c:numCache>
                <c:formatCode>General</c:formatCode>
                <c:ptCount val="10"/>
                <c:pt idx="0">
                  <c:v>-1.9933422158758374E-2</c:v>
                </c:pt>
                <c:pt idx="1">
                  <c:v>-7.8939005997114925E-2</c:v>
                </c:pt>
                <c:pt idx="2">
                  <c:v>-0.17466438509032176</c:v>
                </c:pt>
                <c:pt idx="3">
                  <c:v>-0.30329329065283467</c:v>
                </c:pt>
                <c:pt idx="4">
                  <c:v>-0.45969769413186029</c:v>
                </c:pt>
                <c:pt idx="5">
                  <c:v>-0.63764224552332627</c:v>
                </c:pt>
                <c:pt idx="6">
                  <c:v>-0.83003285709975916</c:v>
                </c:pt>
                <c:pt idx="7">
                  <c:v>-1.0291995223012889</c:v>
                </c:pt>
                <c:pt idx="8">
                  <c:v>-1.2272020946930868</c:v>
                </c:pt>
                <c:pt idx="9">
                  <c:v>-1.4161468365471424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4-4A53-88F3-DEEB8BAF327B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Вариант5!$B$25:$K$25</c:f>
              <c:numCache>
                <c:formatCode>General</c:formatCode>
                <c:ptCount val="10"/>
                <c:pt idx="0">
                  <c:v>-1.9933422158758152E-2</c:v>
                </c:pt>
                <c:pt idx="1">
                  <c:v>-7.8939005997114897E-2</c:v>
                </c:pt>
                <c:pt idx="2">
                  <c:v>-0.17466438509032178</c:v>
                </c:pt>
                <c:pt idx="3">
                  <c:v>-0.3032932906528345</c:v>
                </c:pt>
                <c:pt idx="4">
                  <c:v>-0.45969769413186023</c:v>
                </c:pt>
                <c:pt idx="5">
                  <c:v>-0.63764224552332638</c:v>
                </c:pt>
                <c:pt idx="6">
                  <c:v>-0.83003285709975883</c:v>
                </c:pt>
                <c:pt idx="7">
                  <c:v>-1.0291995223012886</c:v>
                </c:pt>
                <c:pt idx="8">
                  <c:v>-1.2272020946930868</c:v>
                </c:pt>
                <c:pt idx="9">
                  <c:v>-1.4161468365471421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4-4A53-88F3-DEEB8BAF3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279375"/>
        <c:axId val="549991551"/>
      </c:lineChart>
      <c:catAx>
        <c:axId val="560279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9991551"/>
        <c:crosses val="autoZero"/>
        <c:auto val="1"/>
        <c:lblAlgn val="ctr"/>
        <c:lblOffset val="100"/>
        <c:noMultiLvlLbl val="0"/>
      </c:catAx>
      <c:valAx>
        <c:axId val="54999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027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Вариант6!$B$49:$J$49</c:f>
              <c:numCache>
                <c:formatCode>General</c:formatCode>
                <c:ptCount val="9"/>
                <c:pt idx="0">
                  <c:v>9.966865249116201E-2</c:v>
                </c:pt>
                <c:pt idx="1">
                  <c:v>0.1973955598498808</c:v>
                </c:pt>
                <c:pt idx="2">
                  <c:v>0.2914567944778671</c:v>
                </c:pt>
                <c:pt idx="3">
                  <c:v>0.38050637711236501</c:v>
                </c:pt>
                <c:pt idx="4">
                  <c:v>0.46364760900080587</c:v>
                </c:pt>
                <c:pt idx="5">
                  <c:v>0.54041950027058427</c:v>
                </c:pt>
                <c:pt idx="6">
                  <c:v>0.61072596438920623</c:v>
                </c:pt>
                <c:pt idx="7">
                  <c:v>0.67474094211612834</c:v>
                </c:pt>
                <c:pt idx="8">
                  <c:v>0.73281374585266335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1-41BB-B1CC-E655328BADC6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Вариант6!$B$50:$J$50</c:f>
              <c:numCache>
                <c:formatCode>General</c:formatCode>
                <c:ptCount val="9"/>
                <c:pt idx="0">
                  <c:v>9.9668652491162038E-2</c:v>
                </c:pt>
                <c:pt idx="1">
                  <c:v>0.19739555984988078</c:v>
                </c:pt>
                <c:pt idx="2">
                  <c:v>0.29145679447786715</c:v>
                </c:pt>
                <c:pt idx="3">
                  <c:v>0.3805063771123649</c:v>
                </c:pt>
                <c:pt idx="4">
                  <c:v>0.46364760900080609</c:v>
                </c:pt>
                <c:pt idx="5">
                  <c:v>0.54041950027058416</c:v>
                </c:pt>
                <c:pt idx="6">
                  <c:v>0.61072596438920856</c:v>
                </c:pt>
                <c:pt idx="7">
                  <c:v>0.67474094222355263</c:v>
                </c:pt>
                <c:pt idx="8">
                  <c:v>0.73281510178650655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1-41BB-B1CC-E655328BA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868943"/>
        <c:axId val="556827263"/>
      </c:lineChart>
      <c:catAx>
        <c:axId val="443868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6827263"/>
        <c:crosses val="autoZero"/>
        <c:auto val="1"/>
        <c:lblAlgn val="ctr"/>
        <c:lblOffset val="100"/>
        <c:noMultiLvlLbl val="0"/>
      </c:catAx>
      <c:valAx>
        <c:axId val="55682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86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Вариант7!$B$29:$K$29</c:f>
              <c:numCache>
                <c:formatCode>General</c:formatCode>
                <c:ptCount val="10"/>
                <c:pt idx="0">
                  <c:v>1.2214027581601696</c:v>
                </c:pt>
                <c:pt idx="1">
                  <c:v>1.4918246976412701</c:v>
                </c:pt>
                <c:pt idx="2">
                  <c:v>1.8221188003905093</c:v>
                </c:pt>
                <c:pt idx="3">
                  <c:v>2.2255409284924679</c:v>
                </c:pt>
                <c:pt idx="4">
                  <c:v>2.7182818284590455</c:v>
                </c:pt>
                <c:pt idx="5">
                  <c:v>3.3201169227365472</c:v>
                </c:pt>
                <c:pt idx="6">
                  <c:v>4.0551999668446745</c:v>
                </c:pt>
                <c:pt idx="7">
                  <c:v>4.9530324243951087</c:v>
                </c:pt>
                <c:pt idx="8">
                  <c:v>6.0496474644128879</c:v>
                </c:pt>
                <c:pt idx="9">
                  <c:v>7.3890560989301726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2-4602-97D7-7B94C3DF027B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Вариант7!$B$30:$K$30</c:f>
              <c:numCache>
                <c:formatCode>General</c:formatCode>
                <c:ptCount val="10"/>
                <c:pt idx="0">
                  <c:v>1.2214027581601699</c:v>
                </c:pt>
                <c:pt idx="1">
                  <c:v>1.4918246976412703</c:v>
                </c:pt>
                <c:pt idx="2">
                  <c:v>1.8221188003905091</c:v>
                </c:pt>
                <c:pt idx="3">
                  <c:v>2.2255409284924679</c:v>
                </c:pt>
                <c:pt idx="4">
                  <c:v>2.7182818284590451</c:v>
                </c:pt>
                <c:pt idx="5">
                  <c:v>3.3201169227365472</c:v>
                </c:pt>
                <c:pt idx="6">
                  <c:v>4.0551999668446745</c:v>
                </c:pt>
                <c:pt idx="7">
                  <c:v>4.953032424395114</c:v>
                </c:pt>
                <c:pt idx="8">
                  <c:v>6.0496474644129448</c:v>
                </c:pt>
                <c:pt idx="9">
                  <c:v>7.3890560989306486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2-4602-97D7-7B94C3DF0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875231"/>
        <c:axId val="556828255"/>
      </c:lineChart>
      <c:catAx>
        <c:axId val="443875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6828255"/>
        <c:crosses val="autoZero"/>
        <c:auto val="1"/>
        <c:lblAlgn val="ctr"/>
        <c:lblOffset val="100"/>
        <c:noMultiLvlLbl val="0"/>
      </c:catAx>
      <c:valAx>
        <c:axId val="55682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87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[1]Лист1!$B$49:$J$49</c:f>
              <c:numCache>
                <c:formatCode>General</c:formatCode>
                <c:ptCount val="9"/>
                <c:pt idx="0">
                  <c:v>1.3357371293016183</c:v>
                </c:pt>
                <c:pt idx="1">
                  <c:v>1.2182896267863359</c:v>
                </c:pt>
                <c:pt idx="2">
                  <c:v>1.0750616850840666</c:v>
                </c:pt>
                <c:pt idx="3">
                  <c:v>0.92528851007545876</c:v>
                </c:pt>
                <c:pt idx="4">
                  <c:v>0.77290595166695952</c:v>
                </c:pt>
                <c:pt idx="5">
                  <c:v>0.61924107562218922</c:v>
                </c:pt>
                <c:pt idx="6">
                  <c:v>0.4648723326395417</c:v>
                </c:pt>
                <c:pt idx="7">
                  <c:v>0.31009917034321038</c:v>
                </c:pt>
                <c:pt idx="8">
                  <c:v>0.15510046056455518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0-4E5F-8DD7-F4FA21ED3B89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[1]Лист1!$B$50:$J$50</c:f>
              <c:numCache>
                <c:formatCode>General</c:formatCode>
                <c:ptCount val="9"/>
                <c:pt idx="0">
                  <c:v>0.78539816339744828</c:v>
                </c:pt>
                <c:pt idx="1">
                  <c:v>0.78539816339744828</c:v>
                </c:pt>
                <c:pt idx="2">
                  <c:v>0.78539816339744828</c:v>
                </c:pt>
                <c:pt idx="3">
                  <c:v>0.78539816339744828</c:v>
                </c:pt>
                <c:pt idx="4">
                  <c:v>0.78539816339744828</c:v>
                </c:pt>
                <c:pt idx="5">
                  <c:v>0.78539816339744828</c:v>
                </c:pt>
                <c:pt idx="6">
                  <c:v>0.78539816339744828</c:v>
                </c:pt>
                <c:pt idx="7">
                  <c:v>0.78539816339744828</c:v>
                </c:pt>
                <c:pt idx="8">
                  <c:v>0.78539816339744828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0-4E5F-8DD7-F4FA21ED3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2818720"/>
        <c:axId val="774530416"/>
      </c:lineChart>
      <c:catAx>
        <c:axId val="942818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4530416"/>
        <c:crosses val="autoZero"/>
        <c:auto val="1"/>
        <c:lblAlgn val="ctr"/>
        <c:lblOffset val="100"/>
        <c:noMultiLvlLbl val="0"/>
      </c:catAx>
      <c:valAx>
        <c:axId val="77453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81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Вариант9!$L$9:$L$18</c:f>
              <c:numCache>
                <c:formatCode>0.0000</c:formatCode>
                <c:ptCount val="10"/>
                <c:pt idx="0">
                  <c:v>1.0302511704258515</c:v>
                </c:pt>
                <c:pt idx="1">
                  <c:v>1.1240756361277793</c:v>
                </c:pt>
                <c:pt idx="2">
                  <c:v>1.2911256547721481</c:v>
                </c:pt>
                <c:pt idx="3">
                  <c:v>1.5490343497091248</c:v>
                </c:pt>
                <c:pt idx="4">
                  <c:v>1.9260381250259528</c:v>
                </c:pt>
                <c:pt idx="5">
                  <c:v>2.4653265928243626</c:v>
                </c:pt>
                <c:pt idx="6">
                  <c:v>3.2319861106583363</c:v>
                </c:pt>
                <c:pt idx="7">
                  <c:v>4.3239763335834525</c:v>
                </c:pt>
                <c:pt idx="8">
                  <c:v>5.8895181603196178</c:v>
                </c:pt>
                <c:pt idx="9">
                  <c:v>8.1548390652557288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2-414E-AFDF-A994CD8BF5A8}"/>
            </c:ext>
          </c:extLst>
        </c:ser>
        <c:ser>
          <c:idx val="1"/>
          <c:order val="1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Вариант9!$M$9:$M$18</c:f>
              <c:numCache>
                <c:formatCode>General</c:formatCode>
                <c:ptCount val="10"/>
                <c:pt idx="0">
                  <c:v>1.1272743364371607</c:v>
                </c:pt>
                <c:pt idx="1">
                  <c:v>1.3191149788129835</c:v>
                </c:pt>
                <c:pt idx="2">
                  <c:v>1.5928333929396841</c:v>
                </c:pt>
                <c:pt idx="3">
                  <c:v>1.9692086008864769</c:v>
                </c:pt>
                <c:pt idx="4">
                  <c:v>2.4730819060501923</c:v>
                </c:pt>
                <c:pt idx="5">
                  <c:v>3.1340443366716753</c:v>
                </c:pt>
                <c:pt idx="6">
                  <c:v>3.9872303607915436</c:v>
                </c:pt>
                <c:pt idx="7">
                  <c:v>5.0742333169628253</c:v>
                </c:pt>
                <c:pt idx="8">
                  <c:v>6.4441601512312063</c:v>
                </c:pt>
                <c:pt idx="9">
                  <c:v>8.1548454853771339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2-414E-AFDF-A994CD8BF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344687"/>
        <c:axId val="955159167"/>
      </c:lineChart>
      <c:catAx>
        <c:axId val="100734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159167"/>
        <c:crosses val="autoZero"/>
        <c:auto val="1"/>
        <c:lblAlgn val="ctr"/>
        <c:lblOffset val="100"/>
        <c:noMultiLvlLbl val="0"/>
      </c:catAx>
      <c:valAx>
        <c:axId val="9551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734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Вариант10!$A$49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Вариант10!$B$49:$I$49</c:f>
              <c:numCache>
                <c:formatCode>General</c:formatCode>
                <c:ptCount val="8"/>
                <c:pt idx="0">
                  <c:v>8.7297133479820654E-2</c:v>
                </c:pt>
                <c:pt idx="1">
                  <c:v>0.22097086912079611</c:v>
                </c:pt>
                <c:pt idx="2">
                  <c:v>0.43292251909380469</c:v>
                </c:pt>
                <c:pt idx="3">
                  <c:v>0.7856742013183835</c:v>
                </c:pt>
                <c:pt idx="4">
                  <c:v>1.4142135623460848</c:v>
                </c:pt>
                <c:pt idx="5">
                  <c:v>2.651650369191485</c:v>
                </c:pt>
                <c:pt idx="6">
                  <c:v>5.4996738888899186</c:v>
                </c:pt>
                <c:pt idx="7">
                  <c:v>14.125217313398815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B-4D1B-80B8-C10A3DE9F091}"/>
            </c:ext>
          </c:extLst>
        </c:ser>
        <c:ser>
          <c:idx val="1"/>
          <c:order val="1"/>
          <c:tx>
            <c:strRef>
              <c:f>Вариант10!$A$50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Вариант10!$B$50:$I$50</c:f>
              <c:numCache>
                <c:formatCode>General</c:formatCode>
                <c:ptCount val="8"/>
                <c:pt idx="0">
                  <c:v>8.1409643935447765E-2</c:v>
                </c:pt>
                <c:pt idx="1">
                  <c:v>0.18677936350519359</c:v>
                </c:pt>
                <c:pt idx="2">
                  <c:v>0.31864290987798938</c:v>
                </c:pt>
                <c:pt idx="3">
                  <c:v>0.47591414437456914</c:v>
                </c:pt>
                <c:pt idx="4">
                  <c:v>0.65123928305091028</c:v>
                </c:pt>
                <c:pt idx="5">
                  <c:v>0.82949640000727931</c:v>
                </c:pt>
                <c:pt idx="6">
                  <c:v>0.9898495063120466</c:v>
                </c:pt>
                <c:pt idx="7">
                  <c:v>1.112176572727547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5B-4D1B-80B8-C10A3DE9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543071"/>
        <c:axId val="1005956015"/>
      </c:lineChart>
      <c:catAx>
        <c:axId val="1040543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5956015"/>
        <c:crosses val="autoZero"/>
        <c:auto val="1"/>
        <c:lblAlgn val="ctr"/>
        <c:lblOffset val="100"/>
        <c:noMultiLvlLbl val="0"/>
      </c:catAx>
      <c:valAx>
        <c:axId val="100595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54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Вариант11!$A$49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Вариант11!$B$49:$E$49</c:f>
              <c:numCache>
                <c:formatCode>General</c:formatCode>
                <c:ptCount val="4"/>
                <c:pt idx="0">
                  <c:v>0.24692500888320004</c:v>
                </c:pt>
                <c:pt idx="1">
                  <c:v>0.59763472817472929</c:v>
                </c:pt>
                <c:pt idx="2">
                  <c:v>1.1087779408502985</c:v>
                </c:pt>
                <c:pt idx="3">
                  <c:v>1.2452837212861245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7-487E-AEF5-ECC0AF7FFA9F}"/>
            </c:ext>
          </c:extLst>
        </c:ser>
        <c:ser>
          <c:idx val="1"/>
          <c:order val="1"/>
          <c:tx>
            <c:strRef>
              <c:f>Вариант11!$A$50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Вариант11!$B$50:$E$50</c:f>
              <c:numCache>
                <c:formatCode>General</c:formatCode>
                <c:ptCount val="4"/>
                <c:pt idx="0">
                  <c:v>0.31415926535897931</c:v>
                </c:pt>
                <c:pt idx="1">
                  <c:v>0.62831853071795862</c:v>
                </c:pt>
                <c:pt idx="2">
                  <c:v>0.94247779607693793</c:v>
                </c:pt>
                <c:pt idx="3">
                  <c:v>1.2566370614359172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7-487E-AEF5-ECC0AF7FF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552191"/>
        <c:axId val="563413567"/>
      </c:lineChart>
      <c:catAx>
        <c:axId val="1040552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413567"/>
        <c:crosses val="autoZero"/>
        <c:auto val="1"/>
        <c:lblAlgn val="ctr"/>
        <c:lblOffset val="100"/>
        <c:noMultiLvlLbl val="0"/>
      </c:catAx>
      <c:valAx>
        <c:axId val="56341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55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Вариант12!$A$24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Вариант12!$B$24:$L$24</c:f>
              <c:numCache>
                <c:formatCode>General</c:formatCode>
                <c:ptCount val="11"/>
                <c:pt idx="0">
                  <c:v>2.7182818284582302</c:v>
                </c:pt>
                <c:pt idx="1">
                  <c:v>3.0041660239430046</c:v>
                </c:pt>
                <c:pt idx="2">
                  <c:v>3.3201169227238161</c:v>
                </c:pt>
                <c:pt idx="3">
                  <c:v>3.6692966675766594</c:v>
                </c:pt>
                <c:pt idx="4">
                  <c:v>4.0551999667143717</c:v>
                </c:pt>
                <c:pt idx="5">
                  <c:v>4.4816890699687884</c:v>
                </c:pt>
                <c:pt idx="6">
                  <c:v>4.9530324234161895</c:v>
                </c:pt>
                <c:pt idx="7">
                  <c:v>5.473947389280017</c:v>
                </c:pt>
                <c:pt idx="8">
                  <c:v>6.0496474586050235</c:v>
                </c:pt>
                <c:pt idx="9">
                  <c:v>6.6858944291192808</c:v>
                </c:pt>
                <c:pt idx="10">
                  <c:v>7.3890560703259176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3-44D9-8087-1FC0494E612E}"/>
            </c:ext>
          </c:extLst>
        </c:ser>
        <c:ser>
          <c:idx val="1"/>
          <c:order val="1"/>
          <c:tx>
            <c:strRef>
              <c:f>Вариант12!$A$25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Вариант12!$B$25:$L$25</c:f>
              <c:numCache>
                <c:formatCode>General</c:formatCode>
                <c:ptCount val="11"/>
                <c:pt idx="0">
                  <c:v>2.7182818284590451</c:v>
                </c:pt>
                <c:pt idx="1">
                  <c:v>3.0041660239464334</c:v>
                </c:pt>
                <c:pt idx="2">
                  <c:v>3.3201169227365481</c:v>
                </c:pt>
                <c:pt idx="3">
                  <c:v>3.6692966676192453</c:v>
                </c:pt>
                <c:pt idx="4">
                  <c:v>4.0551999668446763</c:v>
                </c:pt>
                <c:pt idx="5">
                  <c:v>4.4816890703380672</c:v>
                </c:pt>
                <c:pt idx="6">
                  <c:v>4.9530324243951176</c:v>
                </c:pt>
                <c:pt idx="7">
                  <c:v>5.4739473917272035</c:v>
                </c:pt>
                <c:pt idx="8">
                  <c:v>6.0496474644129501</c:v>
                </c:pt>
                <c:pt idx="9">
                  <c:v>6.6858944422792748</c:v>
                </c:pt>
                <c:pt idx="10">
                  <c:v>7.3890560989306566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A3-44D9-8087-1FC0494E6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532991"/>
        <c:axId val="1000329855"/>
      </c:lineChart>
      <c:catAx>
        <c:axId val="1040532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0329855"/>
        <c:crosses val="autoZero"/>
        <c:auto val="1"/>
        <c:lblAlgn val="ctr"/>
        <c:lblOffset val="100"/>
        <c:noMultiLvlLbl val="0"/>
      </c:catAx>
      <c:valAx>
        <c:axId val="10003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5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Вариант13!$L$7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Вариант13!$L$8:$L$18</c:f>
              <c:numCache>
                <c:formatCode>0.0000</c:formatCode>
                <c:ptCount val="11"/>
                <c:pt idx="1">
                  <c:v>-4.4663510874393998E-2</c:v>
                </c:pt>
                <c:pt idx="2">
                  <c:v>-0.17466438509032176</c:v>
                </c:pt>
                <c:pt idx="3">
                  <c:v>-0.37839003172933561</c:v>
                </c:pt>
                <c:pt idx="4">
                  <c:v>-0.63764224552332649</c:v>
                </c:pt>
                <c:pt idx="5">
                  <c:v>-0.92926279833229719</c:v>
                </c:pt>
                <c:pt idx="6">
                  <c:v>-1.2272020946930864</c:v>
                </c:pt>
                <c:pt idx="7">
                  <c:v>-1.5048461045998465</c:v>
                </c:pt>
                <c:pt idx="8">
                  <c:v>-1.7373937155410415</c:v>
                </c:pt>
                <c:pt idx="9">
                  <c:v>-1.9040721420143478</c:v>
                </c:pt>
                <c:pt idx="10">
                  <c:v>-1.9899924965729749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F-413C-A140-9B69F805176C}"/>
            </c:ext>
          </c:extLst>
        </c:ser>
        <c:ser>
          <c:idx val="1"/>
          <c:order val="1"/>
          <c:tx>
            <c:strRef>
              <c:f>Вариант13!$M$7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Вариант13!$M$8:$M$18</c:f>
              <c:numCache>
                <c:formatCode>General</c:formatCode>
                <c:ptCount val="11"/>
                <c:pt idx="1">
                  <c:v>-2.9900133238137228E-2</c:v>
                </c:pt>
                <c:pt idx="2">
                  <c:v>-0.11840850899567235</c:v>
                </c:pt>
                <c:pt idx="3">
                  <c:v>-0.26199657763548267</c:v>
                </c:pt>
                <c:pt idx="4">
                  <c:v>-0.45493993597925175</c:v>
                </c:pt>
                <c:pt idx="5">
                  <c:v>-0.68954654119779035</c:v>
                </c:pt>
                <c:pt idx="6">
                  <c:v>-0.95646336828498957</c:v>
                </c:pt>
                <c:pt idx="7">
                  <c:v>-1.2450492856496382</c:v>
                </c:pt>
                <c:pt idx="8">
                  <c:v>-1.543799283451933</c:v>
                </c:pt>
                <c:pt idx="9">
                  <c:v>-1.8408031420396302</c:v>
                </c:pt>
                <c:pt idx="10">
                  <c:v>-2.1242202548207132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F-413C-A140-9B69F8051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549791"/>
        <c:axId val="1046084863"/>
      </c:lineChart>
      <c:catAx>
        <c:axId val="1040549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6084863"/>
        <c:crosses val="autoZero"/>
        <c:auto val="1"/>
        <c:lblAlgn val="ctr"/>
        <c:lblOffset val="100"/>
        <c:noMultiLvlLbl val="0"/>
      </c:catAx>
      <c:valAx>
        <c:axId val="104608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Вариант14!$L$7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Вариант14!$L$8:$L$19</c:f>
              <c:numCache>
                <c:formatCode>0.0000</c:formatCode>
                <c:ptCount val="12"/>
                <c:pt idx="1">
                  <c:v>0.99500416527802582</c:v>
                </c:pt>
                <c:pt idx="2">
                  <c:v>0.98006657784124163</c:v>
                </c:pt>
                <c:pt idx="3">
                  <c:v>0.95533648912560598</c:v>
                </c:pt>
                <c:pt idx="4">
                  <c:v>0.92106099400288499</c:v>
                </c:pt>
                <c:pt idx="5">
                  <c:v>0.87758256189037276</c:v>
                </c:pt>
                <c:pt idx="6">
                  <c:v>0.82533561490967833</c:v>
                </c:pt>
                <c:pt idx="7">
                  <c:v>0.76484218728448838</c:v>
                </c:pt>
                <c:pt idx="8">
                  <c:v>0.6967067093471655</c:v>
                </c:pt>
                <c:pt idx="9">
                  <c:v>0.62160996827066461</c:v>
                </c:pt>
                <c:pt idx="10">
                  <c:v>0.54030230586813977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2-4D70-9320-9C1E5158CAF7}"/>
            </c:ext>
          </c:extLst>
        </c:ser>
        <c:ser>
          <c:idx val="1"/>
          <c:order val="1"/>
          <c:tx>
            <c:strRef>
              <c:f>Вариант14!$M$7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Вариант14!$M$8:$M$19</c:f>
              <c:numCache>
                <c:formatCode>General</c:formatCode>
                <c:ptCount val="12"/>
                <c:pt idx="1">
                  <c:v>0.99500416527802582</c:v>
                </c:pt>
                <c:pt idx="2">
                  <c:v>0.98006657784124163</c:v>
                </c:pt>
                <c:pt idx="3">
                  <c:v>0.95533648912560598</c:v>
                </c:pt>
                <c:pt idx="4">
                  <c:v>0.9210609940028851</c:v>
                </c:pt>
                <c:pt idx="5">
                  <c:v>0.87758256189037276</c:v>
                </c:pt>
                <c:pt idx="6">
                  <c:v>0.82533561490967833</c:v>
                </c:pt>
                <c:pt idx="7">
                  <c:v>0.7648421872844885</c:v>
                </c:pt>
                <c:pt idx="8">
                  <c:v>0.6967067093471655</c:v>
                </c:pt>
                <c:pt idx="9">
                  <c:v>0.6216099682706645</c:v>
                </c:pt>
                <c:pt idx="10">
                  <c:v>0.54030230586813977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2-4D70-9320-9C1E5158C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544031"/>
        <c:axId val="563312671"/>
      </c:lineChart>
      <c:catAx>
        <c:axId val="1040544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3312671"/>
        <c:crosses val="autoZero"/>
        <c:auto val="1"/>
        <c:lblAlgn val="ctr"/>
        <c:lblOffset val="100"/>
        <c:noMultiLvlLbl val="0"/>
      </c:catAx>
      <c:valAx>
        <c:axId val="56331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54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Вариант15!$A$29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Вариант15!$B$29:$K$29</c:f>
              <c:numCache>
                <c:formatCode>General</c:formatCode>
                <c:ptCount val="10"/>
                <c:pt idx="0">
                  <c:v>2.6912681391667035</c:v>
                </c:pt>
                <c:pt idx="1">
                  <c:v>2.6122204929844552</c:v>
                </c:pt>
                <c:pt idx="2">
                  <c:v>2.486856868603152</c:v>
                </c:pt>
                <c:pt idx="3">
                  <c:v>2.3238842457941962</c:v>
                </c:pt>
                <c:pt idx="4">
                  <c:v>2.133930111437405</c:v>
                </c:pt>
                <c:pt idx="5">
                  <c:v>1.9283342378052781</c:v>
                </c:pt>
                <c:pt idx="6">
                  <c:v>1.7179999609519061</c:v>
                </c:pt>
                <c:pt idx="7">
                  <c:v>1.5124670047163074</c:v>
                </c:pt>
                <c:pt idx="8">
                  <c:v>1.3193027107322823</c:v>
                </c:pt>
                <c:pt idx="9">
                  <c:v>1.1438356437916406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3-4C03-A2E8-0BF3691D6BB4}"/>
            </c:ext>
          </c:extLst>
        </c:ser>
        <c:ser>
          <c:idx val="1"/>
          <c:order val="1"/>
          <c:tx>
            <c:strRef>
              <c:f>Вариант15!$A$30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Вариант15!$B$30:$K$30</c:f>
              <c:numCache>
                <c:formatCode>General</c:formatCode>
                <c:ptCount val="10"/>
                <c:pt idx="0">
                  <c:v>2.691268139166703</c:v>
                </c:pt>
                <c:pt idx="1">
                  <c:v>2.6122204929844544</c:v>
                </c:pt>
                <c:pt idx="2">
                  <c:v>2.486856868603152</c:v>
                </c:pt>
                <c:pt idx="3">
                  <c:v>2.3238842457941966</c:v>
                </c:pt>
                <c:pt idx="4">
                  <c:v>2.133930111437405</c:v>
                </c:pt>
                <c:pt idx="5">
                  <c:v>1.9283342378052784</c:v>
                </c:pt>
                <c:pt idx="6">
                  <c:v>1.7179999609519054</c:v>
                </c:pt>
                <c:pt idx="7">
                  <c:v>1.5124670047163078</c:v>
                </c:pt>
                <c:pt idx="8">
                  <c:v>1.3193027107322826</c:v>
                </c:pt>
                <c:pt idx="9">
                  <c:v>1.1438356437916406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3-4C03-A2E8-0BF3691D6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536351"/>
        <c:axId val="1132963919"/>
      </c:lineChart>
      <c:catAx>
        <c:axId val="1040536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2963919"/>
        <c:crosses val="autoZero"/>
        <c:auto val="1"/>
        <c:lblAlgn val="ctr"/>
        <c:lblOffset val="100"/>
        <c:noMultiLvlLbl val="0"/>
      </c:catAx>
      <c:valAx>
        <c:axId val="11329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5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3</xdr:row>
      <xdr:rowOff>0</xdr:rowOff>
    </xdr:from>
    <xdr:ext cx="2498959" cy="3709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17573A5-90FA-8B0D-5858-E2BB99BECB79}"/>
                </a:ext>
              </a:extLst>
            </xdr:cNvPr>
            <xdr:cNvSpPr txBox="1"/>
          </xdr:nvSpPr>
          <xdr:spPr>
            <a:xfrm>
              <a:off x="619225" y="601579"/>
              <a:ext cx="2498959" cy="3709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=1+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𝑙𝑛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⋯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17573A5-90FA-8B0D-5858-E2BB99BECB79}"/>
                </a:ext>
              </a:extLst>
            </xdr:cNvPr>
            <xdr:cNvSpPr txBox="1"/>
          </xdr:nvSpPr>
          <xdr:spPr>
            <a:xfrm>
              <a:off x="619225" y="601579"/>
              <a:ext cx="2498959" cy="3709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𝑠=</a:t>
              </a:r>
              <a:r>
                <a:rPr lang="ru-RU" sz="1100" b="0" i="0">
                  <a:latin typeface="Cambria Math" panose="02040503050406030204" pitchFamily="18" charset="0"/>
                </a:rPr>
                <a:t>1+</a:t>
              </a:r>
              <a:r>
                <a:rPr lang="en-US" sz="1100" b="0" i="0">
                  <a:latin typeface="Cambria Math" panose="02040503050406030204" pitchFamily="18" charset="0"/>
                </a:rPr>
                <a:t>𝑙𝑛4/1!∗𝑥+(〖𝑙𝑛〗^2 4)/2!∗𝑥^2+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⋯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7620</xdr:colOff>
      <xdr:row>5</xdr:row>
      <xdr:rowOff>7620</xdr:rowOff>
    </xdr:from>
    <xdr:ext cx="6019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159FB5F-4F68-F3FD-D28A-5C91C89CFC64}"/>
                </a:ext>
              </a:extLst>
            </xdr:cNvPr>
            <xdr:cNvSpPr txBox="1"/>
          </xdr:nvSpPr>
          <xdr:spPr>
            <a:xfrm>
              <a:off x="617220" y="998220"/>
              <a:ext cx="6019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159FB5F-4F68-F3FD-D28A-5C91C89CFC64}"/>
                </a:ext>
              </a:extLst>
            </xdr:cNvPr>
            <xdr:cNvSpPr txBox="1"/>
          </xdr:nvSpPr>
          <xdr:spPr>
            <a:xfrm>
              <a:off x="617220" y="998220"/>
              <a:ext cx="6019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𝑦=4^𝑥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60960</xdr:colOff>
      <xdr:row>19</xdr:row>
      <xdr:rowOff>49530</xdr:rowOff>
    </xdr:from>
    <xdr:to>
      <xdr:col>7</xdr:col>
      <xdr:colOff>594360</xdr:colOff>
      <xdr:row>31</xdr:row>
      <xdr:rowOff>160020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5D36BD6-9454-552C-3A7C-72AA660A0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</xdr:colOff>
      <xdr:row>3</xdr:row>
      <xdr:rowOff>53340</xdr:rowOff>
    </xdr:from>
    <xdr:ext cx="183642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E4E1B6D-8E0C-4C80-BF39-7F9B7C375689}"/>
                </a:ext>
              </a:extLst>
            </xdr:cNvPr>
            <xdr:cNvSpPr txBox="1"/>
          </xdr:nvSpPr>
          <xdr:spPr>
            <a:xfrm>
              <a:off x="662940" y="647700"/>
              <a:ext cx="183642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200" b="0" i="1">
                      <a:latin typeface="Cambria Math" panose="02040503050406030204" pitchFamily="18" charset="0"/>
                    </a:rPr>
                    <m:t>𝑠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𝑐𝑜𝑠𝑥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+</m:t>
                  </m:r>
                  <m:f>
                    <m:f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𝑐𝑜𝑠</m:t>
                      </m:r>
                      <m:r>
                        <a:rPr lang="en-US" sz="1200" b="0" i="1">
                          <a:latin typeface="Cambria Math" panose="02040503050406030204" pitchFamily="18" charset="0"/>
                        </a:rPr>
                        <m:t>2</m:t>
                      </m:r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𝑥</m:t>
                      </m:r>
                    </m:num>
                    <m:den>
                      <m:r>
                        <a:rPr lang="en-US" sz="12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</m:oMath>
              </a14:m>
              <a:r>
                <a:rPr lang="en-US" sz="1200"/>
                <a:t>+</a:t>
              </a:r>
              <a14:m>
                <m:oMath xmlns:m="http://schemas.openxmlformats.org/officeDocument/2006/math">
                  <m:f>
                    <m:fPr>
                      <m:ctrlP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𝑐𝑜𝑠</m:t>
                      </m:r>
                      <m:r>
                        <a:rPr lang="ru-RU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num>
                    <m:den>
                      <m:r>
                        <a:rPr lang="ru-RU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den>
                  </m:f>
                </m:oMath>
              </a14:m>
              <a:r>
                <a:rPr lang="en-US" sz="1200"/>
                <a:t>+</a:t>
              </a:r>
              <a14:m>
                <m:oMath xmlns:m="http://schemas.openxmlformats.org/officeDocument/2006/math">
                  <m:r>
                    <a:rPr lang="en-US" sz="12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⋯</m:t>
                  </m:r>
                </m:oMath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E4E1B6D-8E0C-4C80-BF39-7F9B7C375689}"/>
                </a:ext>
              </a:extLst>
            </xdr:cNvPr>
            <xdr:cNvSpPr txBox="1"/>
          </xdr:nvSpPr>
          <xdr:spPr>
            <a:xfrm>
              <a:off x="662940" y="647700"/>
              <a:ext cx="183642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𝑠=𝑐𝑜𝑠𝑥+𝑐𝑜𝑠2𝑥/2</a:t>
              </a:r>
              <a:r>
                <a:rPr lang="en-US" sz="1200"/>
                <a:t>+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𝑐𝑜𝑠</a:t>
              </a:r>
              <a:r>
                <a:rPr lang="ru-RU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𝑥/</a:t>
              </a:r>
              <a:r>
                <a:rPr lang="ru-RU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200"/>
                <a:t>+</a:t>
              </a:r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⋯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1</xdr:col>
      <xdr:colOff>15240</xdr:colOff>
      <xdr:row>5</xdr:row>
      <xdr:rowOff>15240</xdr:rowOff>
    </xdr:from>
    <xdr:ext cx="12192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513BA00-8C1D-474A-B1E3-8BDFE0145058}"/>
                </a:ext>
              </a:extLst>
            </xdr:cNvPr>
            <xdr:cNvSpPr txBox="1"/>
          </xdr:nvSpPr>
          <xdr:spPr>
            <a:xfrm>
              <a:off x="624840" y="1005840"/>
              <a:ext cx="1219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⁡|2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sin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/2)|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513BA00-8C1D-474A-B1E3-8BDFE0145058}"/>
                </a:ext>
              </a:extLst>
            </xdr:cNvPr>
            <xdr:cNvSpPr txBox="1"/>
          </xdr:nvSpPr>
          <xdr:spPr>
            <a:xfrm>
              <a:off x="624840" y="1005840"/>
              <a:ext cx="1219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𝑦=−ln⁡|2sin⁡(𝑋/2)|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53340</xdr:colOff>
      <xdr:row>51</xdr:row>
      <xdr:rowOff>34290</xdr:rowOff>
    </xdr:from>
    <xdr:to>
      <xdr:col>7</xdr:col>
      <xdr:colOff>579120</xdr:colOff>
      <xdr:row>66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9FD25A6-BF43-B352-F359-7E5E78B3D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</xdr:colOff>
      <xdr:row>3</xdr:row>
      <xdr:rowOff>7620</xdr:rowOff>
    </xdr:from>
    <xdr:ext cx="2168091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8164F0A-836B-49F7-B5E6-78F1006EB1B1}"/>
                </a:ext>
              </a:extLst>
            </xdr:cNvPr>
            <xdr:cNvSpPr txBox="1"/>
          </xdr:nvSpPr>
          <xdr:spPr>
            <a:xfrm>
              <a:off x="619224" y="609199"/>
              <a:ext cx="2168091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=1+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𝑙𝑛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⋯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8164F0A-836B-49F7-B5E6-78F1006EB1B1}"/>
                </a:ext>
              </a:extLst>
            </xdr:cNvPr>
            <xdr:cNvSpPr txBox="1"/>
          </xdr:nvSpPr>
          <xdr:spPr>
            <a:xfrm>
              <a:off x="619224" y="609199"/>
              <a:ext cx="2168091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𝑠=</a:t>
              </a:r>
              <a:r>
                <a:rPr lang="ru-RU" sz="1100" b="0" i="0">
                  <a:latin typeface="Cambria Math" panose="02040503050406030204" pitchFamily="18" charset="0"/>
                </a:rPr>
                <a:t>1+</a:t>
              </a:r>
              <a:r>
                <a:rPr lang="en-US" sz="1100" b="0" i="0">
                  <a:latin typeface="Cambria Math" panose="02040503050406030204" pitchFamily="18" charset="0"/>
                </a:rPr>
                <a:t>𝑙𝑛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/1!∗𝑥</a:t>
              </a:r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</a:rPr>
                <a:t>(〖𝑙𝑛〗^2</a:t>
              </a:r>
              <a:r>
                <a:rPr lang="ru-RU" sz="1100" b="0" i="0">
                  <a:latin typeface="Cambria Math" panose="02040503050406030204" pitchFamily="18" charset="0"/>
                </a:rPr>
                <a:t> 2</a:t>
              </a:r>
              <a:r>
                <a:rPr lang="en-US" sz="1100" b="0" i="0">
                  <a:latin typeface="Cambria Math" panose="02040503050406030204" pitchFamily="18" charset="0"/>
                </a:rPr>
                <a:t>)/2!∗𝑥^2+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⋯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7620</xdr:colOff>
      <xdr:row>5</xdr:row>
      <xdr:rowOff>7620</xdr:rowOff>
    </xdr:from>
    <xdr:ext cx="6019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82738B6-9EF4-4784-9989-5C8075BFA0B8}"/>
                </a:ext>
              </a:extLst>
            </xdr:cNvPr>
            <xdr:cNvSpPr txBox="1"/>
          </xdr:nvSpPr>
          <xdr:spPr>
            <a:xfrm>
              <a:off x="617220" y="998220"/>
              <a:ext cx="6019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82738B6-9EF4-4784-9989-5C8075BFA0B8}"/>
                </a:ext>
              </a:extLst>
            </xdr:cNvPr>
            <xdr:cNvSpPr txBox="1"/>
          </xdr:nvSpPr>
          <xdr:spPr>
            <a:xfrm>
              <a:off x="617220" y="998220"/>
              <a:ext cx="6019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𝑦=2^𝑥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30480</xdr:colOff>
      <xdr:row>19</xdr:row>
      <xdr:rowOff>34290</xdr:rowOff>
    </xdr:from>
    <xdr:to>
      <xdr:col>7</xdr:col>
      <xdr:colOff>563880</xdr:colOff>
      <xdr:row>34</xdr:row>
      <xdr:rowOff>137160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85E87E5-F8D3-AD23-4F6C-88551562F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2</xdr:row>
      <xdr:rowOff>15240</xdr:rowOff>
    </xdr:from>
    <xdr:ext cx="242316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6F0FE7F-75B2-4038-A4C3-BC2DD877A7E8}"/>
                </a:ext>
              </a:extLst>
            </xdr:cNvPr>
            <xdr:cNvSpPr txBox="1"/>
          </xdr:nvSpPr>
          <xdr:spPr>
            <a:xfrm>
              <a:off x="632460" y="41148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−(1+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6F0FE7F-75B2-4038-A4C3-BC2DD877A7E8}"/>
                </a:ext>
              </a:extLst>
            </xdr:cNvPr>
            <xdr:cNvSpPr txBox="1"/>
          </xdr:nvSpPr>
          <xdr:spPr>
            <a:xfrm>
              <a:off x="632460" y="41148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𝑠=〖−(1+𝑥)〗^2+〖(1+𝑥)〗^4/2−〖(1+𝑥)〗^6/3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1</xdr:col>
      <xdr:colOff>129540</xdr:colOff>
      <xdr:row>4</xdr:row>
      <xdr:rowOff>22860</xdr:rowOff>
    </xdr:from>
    <xdr:ext cx="1617980" cy="3207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7A0AF4-35C0-4B2D-A3BC-1269AD45789E}"/>
                </a:ext>
              </a:extLst>
            </xdr:cNvPr>
            <xdr:cNvSpPr txBox="1"/>
          </xdr:nvSpPr>
          <xdr:spPr>
            <a:xfrm>
              <a:off x="739140" y="835660"/>
              <a:ext cx="1617980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2+2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7A0AF4-35C0-4B2D-A3BC-1269AD45789E}"/>
                </a:ext>
              </a:extLst>
            </xdr:cNvPr>
            <xdr:cNvSpPr txBox="1"/>
          </xdr:nvSpPr>
          <xdr:spPr>
            <a:xfrm>
              <a:off x="739140" y="835660"/>
              <a:ext cx="1617980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𝑦=ln⁡(1/(2+2𝑥+𝑥^2 ))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30480</xdr:colOff>
      <xdr:row>51</xdr:row>
      <xdr:rowOff>34290</xdr:rowOff>
    </xdr:from>
    <xdr:to>
      <xdr:col>7</xdr:col>
      <xdr:colOff>548640</xdr:colOff>
      <xdr:row>66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83BC79E-CC5E-4EA1-FA1F-78B4FAF76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2</xdr:row>
      <xdr:rowOff>15240</xdr:rowOff>
    </xdr:from>
    <xdr:ext cx="242316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DC163EC-90E0-4ADC-A3C5-DB472E0AA8D6}"/>
                </a:ext>
              </a:extLst>
            </xdr:cNvPr>
            <xdr:cNvSpPr txBox="1"/>
          </xdr:nvSpPr>
          <xdr:spPr>
            <a:xfrm>
              <a:off x="632460" y="41148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4!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−…</m:t>
                    </m:r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DC163EC-90E0-4ADC-A3C5-DB472E0AA8D6}"/>
                </a:ext>
              </a:extLst>
            </xdr:cNvPr>
            <xdr:cNvSpPr txBox="1"/>
          </xdr:nvSpPr>
          <xdr:spPr>
            <a:xfrm>
              <a:off x="632460" y="41148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𝑠=−(2𝑥)^2/2!+(2𝑥)^4/4!−…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0</xdr:col>
      <xdr:colOff>480060</xdr:colOff>
      <xdr:row>4</xdr:row>
      <xdr:rowOff>15240</xdr:rowOff>
    </xdr:from>
    <xdr:ext cx="144780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72431DA-2E10-4E03-8C31-89DD3251B21A}"/>
                </a:ext>
              </a:extLst>
            </xdr:cNvPr>
            <xdr:cNvSpPr txBox="1"/>
          </xdr:nvSpPr>
          <xdr:spPr>
            <a:xfrm>
              <a:off x="480060" y="807720"/>
              <a:ext cx="144780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=2(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−1)</m:t>
                        </m:r>
                      </m:e>
                    </m:func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72431DA-2E10-4E03-8C31-89DD3251B21A}"/>
                </a:ext>
              </a:extLst>
            </xdr:cNvPr>
            <xdr:cNvSpPr txBox="1"/>
          </xdr:nvSpPr>
          <xdr:spPr>
            <a:xfrm>
              <a:off x="480060" y="807720"/>
              <a:ext cx="144780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𝑦=2(cos^2⁡〖𝑋−1)〗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38100</xdr:colOff>
      <xdr:row>26</xdr:row>
      <xdr:rowOff>26670</xdr:rowOff>
    </xdr:from>
    <xdr:to>
      <xdr:col>7</xdr:col>
      <xdr:colOff>563880</xdr:colOff>
      <xdr:row>41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B9EDB40-6581-BDA0-5808-485A40CD1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320040</xdr:colOff>
      <xdr:row>1</xdr:row>
      <xdr:rowOff>182880</xdr:rowOff>
    </xdr:from>
    <xdr:ext cx="242316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91EFE2-2385-4068-AB68-95CB38973991}"/>
                </a:ext>
              </a:extLst>
            </xdr:cNvPr>
            <xdr:cNvSpPr txBox="1"/>
          </xdr:nvSpPr>
          <xdr:spPr>
            <a:xfrm>
              <a:off x="320040" y="38100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sup>
                        </m:sSup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−…</m:t>
                    </m:r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91EFE2-2385-4068-AB68-95CB38973991}"/>
                </a:ext>
              </a:extLst>
            </xdr:cNvPr>
            <xdr:cNvSpPr txBox="1"/>
          </xdr:nvSpPr>
          <xdr:spPr>
            <a:xfrm>
              <a:off x="320040" y="38100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𝑠=𝑥−𝑥^3/3+𝑥^5/5−…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0</xdr:col>
      <xdr:colOff>495300</xdr:colOff>
      <xdr:row>4</xdr:row>
      <xdr:rowOff>15240</xdr:rowOff>
    </xdr:from>
    <xdr:ext cx="14478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32CE52F-0908-4A09-BE3E-0533E5BF02AB}"/>
                </a:ext>
              </a:extLst>
            </xdr:cNvPr>
            <xdr:cNvSpPr txBox="1"/>
          </xdr:nvSpPr>
          <xdr:spPr>
            <a:xfrm>
              <a:off x="495300" y="807720"/>
              <a:ext cx="14478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arctg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32CE52F-0908-4A09-BE3E-0533E5BF02AB}"/>
                </a:ext>
              </a:extLst>
            </xdr:cNvPr>
            <xdr:cNvSpPr txBox="1"/>
          </xdr:nvSpPr>
          <xdr:spPr>
            <a:xfrm>
              <a:off x="495300" y="807720"/>
              <a:ext cx="14478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𝑦=arctg⁡(𝑋)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53340</xdr:colOff>
      <xdr:row>51</xdr:row>
      <xdr:rowOff>34290</xdr:rowOff>
    </xdr:from>
    <xdr:to>
      <xdr:col>7</xdr:col>
      <xdr:colOff>548640</xdr:colOff>
      <xdr:row>66</xdr:row>
      <xdr:rowOff>121920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15E8AB4-4D69-6A1F-2CF9-ACA94A22A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320040</xdr:colOff>
      <xdr:row>1</xdr:row>
      <xdr:rowOff>182880</xdr:rowOff>
    </xdr:from>
    <xdr:ext cx="242316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A39F21F-E63A-4473-B9DB-DB2A5152C21B}"/>
                </a:ext>
              </a:extLst>
            </xdr:cNvPr>
            <xdr:cNvSpPr txBox="1"/>
          </xdr:nvSpPr>
          <xdr:spPr>
            <a:xfrm>
              <a:off x="320040" y="38100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=1+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2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+…</m:t>
                    </m:r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A39F21F-E63A-4473-B9DB-DB2A5152C21B}"/>
                </a:ext>
              </a:extLst>
            </xdr:cNvPr>
            <xdr:cNvSpPr txBox="1"/>
          </xdr:nvSpPr>
          <xdr:spPr>
            <a:xfrm>
              <a:off x="320040" y="38100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𝑠=</a:t>
              </a:r>
              <a:r>
                <a:rPr lang="ru-RU" sz="1200" b="0" i="0">
                  <a:latin typeface="Cambria Math" panose="02040503050406030204" pitchFamily="18" charset="0"/>
                </a:rPr>
                <a:t>1+2</a:t>
              </a:r>
              <a:r>
                <a:rPr lang="en-US" sz="1200" b="0" i="0">
                  <a:latin typeface="Cambria Math" panose="02040503050406030204" pitchFamily="18" charset="0"/>
                </a:rPr>
                <a:t>𝑥/1!+(2𝑥)^2/2!+…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0</xdr:col>
      <xdr:colOff>243840</xdr:colOff>
      <xdr:row>4</xdr:row>
      <xdr:rowOff>15240</xdr:rowOff>
    </xdr:from>
    <xdr:ext cx="144780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2653A49-5E4F-411D-8586-2118AFBD1331}"/>
                </a:ext>
              </a:extLst>
            </xdr:cNvPr>
            <xdr:cNvSpPr txBox="1"/>
          </xdr:nvSpPr>
          <xdr:spPr>
            <a:xfrm>
              <a:off x="243840" y="807720"/>
              <a:ext cx="144780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2653A49-5E4F-411D-8586-2118AFBD1331}"/>
                </a:ext>
              </a:extLst>
            </xdr:cNvPr>
            <xdr:cNvSpPr txBox="1"/>
          </xdr:nvSpPr>
          <xdr:spPr>
            <a:xfrm>
              <a:off x="243840" y="807720"/>
              <a:ext cx="144780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𝑦=𝑒^2𝑥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38100</xdr:colOff>
      <xdr:row>31</xdr:row>
      <xdr:rowOff>41910</xdr:rowOff>
    </xdr:from>
    <xdr:to>
      <xdr:col>7</xdr:col>
      <xdr:colOff>571500</xdr:colOff>
      <xdr:row>46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5856672-1A3C-BCEA-7DBE-1F2FD9726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99060</xdr:colOff>
      <xdr:row>3</xdr:row>
      <xdr:rowOff>53340</xdr:rowOff>
    </xdr:from>
    <xdr:ext cx="183642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EDD8D80-CDB9-46B9-9D7B-5DA4399D9E00}"/>
                </a:ext>
              </a:extLst>
            </xdr:cNvPr>
            <xdr:cNvSpPr txBox="1"/>
          </xdr:nvSpPr>
          <xdr:spPr>
            <a:xfrm>
              <a:off x="708660" y="647700"/>
              <a:ext cx="183642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200" b="0" i="1">
                      <a:latin typeface="Cambria Math" panose="02040503050406030204" pitchFamily="18" charset="0"/>
                    </a:rPr>
                    <m:t>𝑠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𝑠𝑖𝑛𝑥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+</m:t>
                  </m:r>
                  <m:f>
                    <m:f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𝑠𝑖𝑛</m:t>
                      </m:r>
                      <m:r>
                        <a:rPr lang="en-US" sz="1200" b="0" i="1">
                          <a:latin typeface="Cambria Math" panose="02040503050406030204" pitchFamily="18" charset="0"/>
                        </a:rPr>
                        <m:t>2</m:t>
                      </m:r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𝑥</m:t>
                      </m:r>
                    </m:num>
                    <m:den>
                      <m:r>
                        <a:rPr lang="en-US" sz="12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</m:oMath>
              </a14:m>
              <a:r>
                <a:rPr lang="en-US" sz="1200"/>
                <a:t>+</a:t>
              </a:r>
              <a14:m>
                <m:oMath xmlns:m="http://schemas.openxmlformats.org/officeDocument/2006/math">
                  <m:f>
                    <m:fPr>
                      <m:ctrlP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𝑠𝑖𝑛</m:t>
                      </m:r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num>
                    <m:den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den>
                  </m:f>
                </m:oMath>
              </a14:m>
              <a:r>
                <a:rPr lang="en-US" sz="1200"/>
                <a:t>+</a:t>
              </a:r>
              <a14:m>
                <m:oMath xmlns:m="http://schemas.openxmlformats.org/officeDocument/2006/math">
                  <m:r>
                    <a:rPr lang="en-US" sz="12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⋯</m:t>
                  </m:r>
                </m:oMath>
              </a14:m>
              <a:endParaRPr lang="ru-RU" sz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EDD8D80-CDB9-46B9-9D7B-5DA4399D9E00}"/>
                </a:ext>
              </a:extLst>
            </xdr:cNvPr>
            <xdr:cNvSpPr txBox="1"/>
          </xdr:nvSpPr>
          <xdr:spPr>
            <a:xfrm>
              <a:off x="708660" y="647700"/>
              <a:ext cx="183642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𝑠=𝑠𝑖𝑛𝑥+𝑠𝑖𝑛2𝑥/2</a:t>
              </a:r>
              <a:r>
                <a:rPr lang="en-US" sz="1200"/>
                <a:t>+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𝑠𝑖𝑛3𝑥/3</a:t>
              </a:r>
              <a:r>
                <a:rPr lang="en-US" sz="1200"/>
                <a:t>+</a:t>
              </a:r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⋯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0</xdr:col>
      <xdr:colOff>289560</xdr:colOff>
      <xdr:row>5</xdr:row>
      <xdr:rowOff>15240</xdr:rowOff>
    </xdr:from>
    <xdr:ext cx="12192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0EB91E-BBFD-464E-A0E5-FE491F8253A7}"/>
                </a:ext>
              </a:extLst>
            </xdr:cNvPr>
            <xdr:cNvSpPr txBox="1"/>
          </xdr:nvSpPr>
          <xdr:spPr>
            <a:xfrm>
              <a:off x="289560" y="1005840"/>
              <a:ext cx="1219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/4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0EB91E-BBFD-464E-A0E5-FE491F8253A7}"/>
                </a:ext>
              </a:extLst>
            </xdr:cNvPr>
            <xdr:cNvSpPr txBox="1"/>
          </xdr:nvSpPr>
          <xdr:spPr>
            <a:xfrm>
              <a:off x="289560" y="1005840"/>
              <a:ext cx="1219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𝑦=𝑃𝑖/4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38100</xdr:colOff>
      <xdr:row>51</xdr:row>
      <xdr:rowOff>38100</xdr:rowOff>
    </xdr:from>
    <xdr:to>
      <xdr:col>7</xdr:col>
      <xdr:colOff>571500</xdr:colOff>
      <xdr:row>66</xdr:row>
      <xdr:rowOff>148590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21E9213-5B1C-4ACC-92FD-B440BF187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3</xdr:row>
      <xdr:rowOff>7620</xdr:rowOff>
    </xdr:from>
    <xdr:ext cx="1821180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799F1B6-92D0-4869-A7CF-E5C2A92924E9}"/>
                </a:ext>
              </a:extLst>
            </xdr:cNvPr>
            <xdr:cNvSpPr txBox="1"/>
          </xdr:nvSpPr>
          <xdr:spPr>
            <a:xfrm>
              <a:off x="617220" y="601980"/>
              <a:ext cx="182118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=1+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3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+…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799F1B6-92D0-4869-A7CF-E5C2A92924E9}"/>
                </a:ext>
              </a:extLst>
            </xdr:cNvPr>
            <xdr:cNvSpPr txBox="1"/>
          </xdr:nvSpPr>
          <xdr:spPr>
            <a:xfrm>
              <a:off x="617220" y="601980"/>
              <a:ext cx="182118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𝑠=</a:t>
              </a:r>
              <a:r>
                <a:rPr lang="ru-RU" sz="1100" b="0" i="0">
                  <a:latin typeface="Cambria Math" panose="02040503050406030204" pitchFamily="18" charset="0"/>
                </a:rPr>
                <a:t>1+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 panose="02040503050406030204" pitchFamily="18" charset="0"/>
                </a:rPr>
                <a:t>3</a:t>
              </a:r>
              <a:r>
                <a:rPr lang="en-US" sz="1100" b="0" i="0">
                  <a:latin typeface="Cambria Math" panose="02040503050406030204" pitchFamily="18" charset="0"/>
                </a:rPr>
                <a:t>𝑥^2)/1!+(5𝑥^4)/2!+…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7620</xdr:colOff>
      <xdr:row>5</xdr:row>
      <xdr:rowOff>7620</xdr:rowOff>
    </xdr:from>
    <xdr:ext cx="123444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53A083-3952-4538-A1CD-F8B74299F150}"/>
                </a:ext>
              </a:extLst>
            </xdr:cNvPr>
            <xdr:cNvSpPr txBox="1"/>
          </xdr:nvSpPr>
          <xdr:spPr>
            <a:xfrm>
              <a:off x="617220" y="998220"/>
              <a:ext cx="1234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1+2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53A083-3952-4538-A1CD-F8B74299F150}"/>
                </a:ext>
              </a:extLst>
            </xdr:cNvPr>
            <xdr:cNvSpPr txBox="1"/>
          </xdr:nvSpPr>
          <xdr:spPr>
            <a:xfrm>
              <a:off x="617220" y="998220"/>
              <a:ext cx="1234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𝑦=(1+2𝑋^2 )∗𝑒^𝑥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30480</xdr:colOff>
      <xdr:row>19</xdr:row>
      <xdr:rowOff>34290</xdr:rowOff>
    </xdr:from>
    <xdr:to>
      <xdr:col>7</xdr:col>
      <xdr:colOff>563880</xdr:colOff>
      <xdr:row>34</xdr:row>
      <xdr:rowOff>137160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11545C6-CB4D-503A-3EF6-FF8A88C70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106680</xdr:colOff>
      <xdr:row>3</xdr:row>
      <xdr:rowOff>30480</xdr:rowOff>
    </xdr:from>
    <xdr:ext cx="217170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442E2D1-8C50-4A8E-B370-C9B8A10F467E}"/>
                </a:ext>
              </a:extLst>
            </xdr:cNvPr>
            <xdr:cNvSpPr txBox="1"/>
          </xdr:nvSpPr>
          <xdr:spPr>
            <a:xfrm>
              <a:off x="716280" y="624840"/>
              <a:ext cx="217170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f>
                          <m:f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𝑃𝑖</m:t>
                            </m:r>
                          </m:num>
                          <m:den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den>
                        </m:f>
                      </m:e>
                    </m:func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200" b="0" i="1">
                        <a:latin typeface="Cambria Math" panose="02040503050406030204" pitchFamily="18" charset="0"/>
                      </a:rPr>
                      <m:t>∗2</m:t>
                    </m:r>
                    <m:func>
                      <m:func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f>
                          <m:f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𝑃𝑖</m:t>
                            </m:r>
                          </m:num>
                          <m:den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den>
                        </m:f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+…</m:t>
                        </m:r>
                      </m:e>
                    </m:func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442E2D1-8C50-4A8E-B370-C9B8A10F467E}"/>
                </a:ext>
              </a:extLst>
            </xdr:cNvPr>
            <xdr:cNvSpPr txBox="1"/>
          </xdr:nvSpPr>
          <xdr:spPr>
            <a:xfrm>
              <a:off x="716280" y="624840"/>
              <a:ext cx="217170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𝑠=𝑥∗sin⁡〖𝑃𝑖/4〗+𝑥^2∗2 sin⁡〖𝑃𝑖/4+…〗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5</xdr:col>
      <xdr:colOff>22860</xdr:colOff>
      <xdr:row>3</xdr:row>
      <xdr:rowOff>22860</xdr:rowOff>
    </xdr:from>
    <xdr:ext cx="1805940" cy="560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F06490-D72C-485B-AB5F-70F189F668EC}"/>
                </a:ext>
              </a:extLst>
            </xdr:cNvPr>
            <xdr:cNvSpPr txBox="1"/>
          </xdr:nvSpPr>
          <xdr:spPr>
            <a:xfrm>
              <a:off x="3070860" y="617220"/>
              <a:ext cx="1805940" cy="560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sin</m:t>
                            </m:r>
                          </m:fName>
                          <m:e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𝑃𝑖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</m:e>
                        </m:func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1−2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</m:fName>
                          <m:e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𝑃𝑖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func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F06490-D72C-485B-AB5F-70F189F668EC}"/>
                </a:ext>
              </a:extLst>
            </xdr:cNvPr>
            <xdr:cNvSpPr txBox="1"/>
          </xdr:nvSpPr>
          <xdr:spPr>
            <a:xfrm>
              <a:off x="3070860" y="617220"/>
              <a:ext cx="1805940" cy="560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𝑦=(𝑥 sin⁡〖𝑃𝑖/4〗)/(1−2𝑥∗cos⁡〖𝑃𝑖/4+𝑥^2 〗 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45720</xdr:colOff>
      <xdr:row>51</xdr:row>
      <xdr:rowOff>34290</xdr:rowOff>
    </xdr:from>
    <xdr:to>
      <xdr:col>7</xdr:col>
      <xdr:colOff>525780</xdr:colOff>
      <xdr:row>66</xdr:row>
      <xdr:rowOff>129540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4FEEC69-28CB-2887-F0D2-9F6F59D62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106680</xdr:colOff>
      <xdr:row>3</xdr:row>
      <xdr:rowOff>30480</xdr:rowOff>
    </xdr:from>
    <xdr:ext cx="217170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9BB1BAC-0B23-46B9-B1EF-26154110CD2E}"/>
                </a:ext>
              </a:extLst>
            </xdr:cNvPr>
            <xdr:cNvSpPr txBox="1"/>
          </xdr:nvSpPr>
          <xdr:spPr>
            <a:xfrm>
              <a:off x="716280" y="624840"/>
              <a:ext cx="217170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𝑠𝑖𝑛𝑥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200" b="0" i="0">
                                <a:latin typeface="Cambria Math" panose="02040503050406030204" pitchFamily="18" charset="0"/>
                              </a:rPr>
                              <m:t>sin</m:t>
                            </m:r>
                          </m:fName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func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200" b="0" i="0">
                                <a:latin typeface="Cambria Math" panose="02040503050406030204" pitchFamily="18" charset="0"/>
                              </a:rPr>
                              <m:t>sin</m:t>
                            </m:r>
                          </m:fName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func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3!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−…</m:t>
                    </m:r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9BB1BAC-0B23-46B9-B1EF-26154110CD2E}"/>
                </a:ext>
              </a:extLst>
            </xdr:cNvPr>
            <xdr:cNvSpPr txBox="1"/>
          </xdr:nvSpPr>
          <xdr:spPr>
            <a:xfrm>
              <a:off x="716280" y="624840"/>
              <a:ext cx="217170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𝑠=𝑠𝑖𝑛𝑥−sin⁡2𝑥/2!+sin⁡3𝑥/3!−…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0</xdr:col>
      <xdr:colOff>22860</xdr:colOff>
      <xdr:row>5</xdr:row>
      <xdr:rowOff>15240</xdr:rowOff>
    </xdr:from>
    <xdr:ext cx="180594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585157-AC53-41B0-AD37-084AC6698F47}"/>
                </a:ext>
              </a:extLst>
            </xdr:cNvPr>
            <xdr:cNvSpPr txBox="1"/>
          </xdr:nvSpPr>
          <xdr:spPr>
            <a:xfrm>
              <a:off x="22860" y="1005840"/>
              <a:ext cx="18059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585157-AC53-41B0-AD37-084AC6698F47}"/>
                </a:ext>
              </a:extLst>
            </xdr:cNvPr>
            <xdr:cNvSpPr txBox="1"/>
          </xdr:nvSpPr>
          <xdr:spPr>
            <a:xfrm>
              <a:off x="22860" y="1005840"/>
              <a:ext cx="18059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𝑦=𝑋/2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22860</xdr:colOff>
      <xdr:row>51</xdr:row>
      <xdr:rowOff>19050</xdr:rowOff>
    </xdr:from>
    <xdr:to>
      <xdr:col>7</xdr:col>
      <xdr:colOff>525780</xdr:colOff>
      <xdr:row>66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9C290D5-561E-DCB2-B427-51B15215E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2</xdr:row>
      <xdr:rowOff>15240</xdr:rowOff>
    </xdr:from>
    <xdr:ext cx="242316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C389AC7-037B-4683-9021-F63BA195C329}"/>
                </a:ext>
              </a:extLst>
            </xdr:cNvPr>
            <xdr:cNvSpPr txBox="1"/>
          </xdr:nvSpPr>
          <xdr:spPr>
            <a:xfrm>
              <a:off x="632460" y="41148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=1+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+…</m:t>
                    </m:r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C389AC7-037B-4683-9021-F63BA195C329}"/>
                </a:ext>
              </a:extLst>
            </xdr:cNvPr>
            <xdr:cNvSpPr txBox="1"/>
          </xdr:nvSpPr>
          <xdr:spPr>
            <a:xfrm>
              <a:off x="632460" y="41148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𝑠=</a:t>
              </a:r>
              <a:r>
                <a:rPr lang="ru-RU" sz="1200" b="0" i="0">
                  <a:latin typeface="Cambria Math" panose="02040503050406030204" pitchFamily="18" charset="0"/>
                </a:rPr>
                <a:t>1+</a:t>
              </a:r>
              <a:r>
                <a:rPr lang="en-US" sz="1200" b="0" i="0">
                  <a:latin typeface="Cambria Math" panose="02040503050406030204" pitchFamily="18" charset="0"/>
                </a:rPr>
                <a:t>𝑥/1!+𝑥^2/2!+…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0</xdr:col>
      <xdr:colOff>480060</xdr:colOff>
      <xdr:row>4</xdr:row>
      <xdr:rowOff>15240</xdr:rowOff>
    </xdr:from>
    <xdr:ext cx="144780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BB429F1-6006-4857-B46E-113D8F0F356E}"/>
                </a:ext>
              </a:extLst>
            </xdr:cNvPr>
            <xdr:cNvSpPr txBox="1"/>
          </xdr:nvSpPr>
          <xdr:spPr>
            <a:xfrm>
              <a:off x="480060" y="807720"/>
              <a:ext cx="144780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BB429F1-6006-4857-B46E-113D8F0F356E}"/>
                </a:ext>
              </a:extLst>
            </xdr:cNvPr>
            <xdr:cNvSpPr txBox="1"/>
          </xdr:nvSpPr>
          <xdr:spPr>
            <a:xfrm>
              <a:off x="480060" y="807720"/>
              <a:ext cx="144780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𝑦=𝑒^𝑥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45720</xdr:colOff>
      <xdr:row>26</xdr:row>
      <xdr:rowOff>26670</xdr:rowOff>
    </xdr:from>
    <xdr:to>
      <xdr:col>7</xdr:col>
      <xdr:colOff>563880</xdr:colOff>
      <xdr:row>41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A36DDC7-45FF-8B35-FFBA-E5DC5E428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3</xdr:row>
      <xdr:rowOff>7620</xdr:rowOff>
    </xdr:from>
    <xdr:ext cx="1821180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E0075CA-BC4A-48BE-ADA3-39CA6C0F1B21}"/>
                </a:ext>
              </a:extLst>
            </xdr:cNvPr>
            <xdr:cNvSpPr txBox="1"/>
          </xdr:nvSpPr>
          <xdr:spPr>
            <a:xfrm>
              <a:off x="617220" y="601980"/>
              <a:ext cx="182118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−…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E0075CA-BC4A-48BE-ADA3-39CA6C0F1B21}"/>
                </a:ext>
              </a:extLst>
            </xdr:cNvPr>
            <xdr:cNvSpPr txBox="1"/>
          </xdr:nvSpPr>
          <xdr:spPr>
            <a:xfrm>
              <a:off x="617220" y="601980"/>
              <a:ext cx="182118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𝑠=</a:t>
              </a:r>
              <a:r>
                <a:rPr lang="ru-RU" sz="1100" b="0" i="0">
                  <a:latin typeface="Cambria Math" panose="02040503050406030204" pitchFamily="18" charset="0"/>
                </a:rPr>
                <a:t>−(3</a:t>
              </a:r>
              <a:r>
                <a:rPr lang="en-US" sz="1100" b="0" i="0">
                  <a:latin typeface="Cambria Math" panose="02040503050406030204" pitchFamily="18" charset="0"/>
                </a:rPr>
                <a:t>𝑥)^2/2!+(3𝑥)^4/4!−…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7620</xdr:colOff>
      <xdr:row>5</xdr:row>
      <xdr:rowOff>7620</xdr:rowOff>
    </xdr:from>
    <xdr:ext cx="123444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47DCBC7-4530-4CB3-B117-3587718036A5}"/>
                </a:ext>
              </a:extLst>
            </xdr:cNvPr>
            <xdr:cNvSpPr txBox="1"/>
          </xdr:nvSpPr>
          <xdr:spPr>
            <a:xfrm>
              <a:off x="617220" y="998220"/>
              <a:ext cx="1234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=3(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−1)</m:t>
                        </m:r>
                      </m:e>
                    </m:func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47DCBC7-4530-4CB3-B117-3587718036A5}"/>
                </a:ext>
              </a:extLst>
            </xdr:cNvPr>
            <xdr:cNvSpPr txBox="1"/>
          </xdr:nvSpPr>
          <xdr:spPr>
            <a:xfrm>
              <a:off x="617220" y="998220"/>
              <a:ext cx="1234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𝑦=3(cos^2⁡〖𝑋−1)〗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45720</xdr:colOff>
      <xdr:row>19</xdr:row>
      <xdr:rowOff>41910</xdr:rowOff>
    </xdr:from>
    <xdr:to>
      <xdr:col>7</xdr:col>
      <xdr:colOff>563880</xdr:colOff>
      <xdr:row>34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00552AA-8DEB-E52F-24CD-CCF244F43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3</xdr:row>
      <xdr:rowOff>7620</xdr:rowOff>
    </xdr:from>
    <xdr:ext cx="1821180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25BD263-9377-44F7-AC30-D10E74F4B9B7}"/>
                </a:ext>
              </a:extLst>
            </xdr:cNvPr>
            <xdr:cNvSpPr txBox="1"/>
          </xdr:nvSpPr>
          <xdr:spPr>
            <a:xfrm>
              <a:off x="617220" y="601980"/>
              <a:ext cx="182118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4!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−…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25BD263-9377-44F7-AC30-D10E74F4B9B7}"/>
                </a:ext>
              </a:extLst>
            </xdr:cNvPr>
            <xdr:cNvSpPr txBox="1"/>
          </xdr:nvSpPr>
          <xdr:spPr>
            <a:xfrm>
              <a:off x="617220" y="601980"/>
              <a:ext cx="182118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𝑠=1−𝑥^2/2!+𝑥^4/4!−…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7620</xdr:colOff>
      <xdr:row>5</xdr:row>
      <xdr:rowOff>7620</xdr:rowOff>
    </xdr:from>
    <xdr:ext cx="123444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75541D7-278D-4D1D-B4ED-11BC4A9FD5B8}"/>
                </a:ext>
              </a:extLst>
            </xdr:cNvPr>
            <xdr:cNvSpPr txBox="1"/>
          </xdr:nvSpPr>
          <xdr:spPr>
            <a:xfrm>
              <a:off x="617220" y="998220"/>
              <a:ext cx="1234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75541D7-278D-4D1D-B4ED-11BC4A9FD5B8}"/>
                </a:ext>
              </a:extLst>
            </xdr:cNvPr>
            <xdr:cNvSpPr txBox="1"/>
          </xdr:nvSpPr>
          <xdr:spPr>
            <a:xfrm>
              <a:off x="617220" y="998220"/>
              <a:ext cx="1234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𝑦=cos⁡𝑥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60960</xdr:colOff>
      <xdr:row>19</xdr:row>
      <xdr:rowOff>26670</xdr:rowOff>
    </xdr:from>
    <xdr:to>
      <xdr:col>7</xdr:col>
      <xdr:colOff>563880</xdr:colOff>
      <xdr:row>34</xdr:row>
      <xdr:rowOff>129540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B195A6C-E8E7-2D6E-54BE-A2B1779DA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327660</xdr:colOff>
      <xdr:row>2</xdr:row>
      <xdr:rowOff>0</xdr:rowOff>
    </xdr:from>
    <xdr:ext cx="2423160" cy="411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091789-75D4-4B63-ADCF-D5F11C11928F}"/>
                </a:ext>
              </a:extLst>
            </xdr:cNvPr>
            <xdr:cNvSpPr txBox="1"/>
          </xdr:nvSpPr>
          <xdr:spPr>
            <a:xfrm>
              <a:off x="327660" y="39624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=1+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2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</m:fName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func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2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</m:fName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func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2!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+…</m:t>
                    </m:r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091789-75D4-4B63-ADCF-D5F11C11928F}"/>
                </a:ext>
              </a:extLst>
            </xdr:cNvPr>
            <xdr:cNvSpPr txBox="1"/>
          </xdr:nvSpPr>
          <xdr:spPr>
            <a:xfrm>
              <a:off x="327660" y="396240"/>
              <a:ext cx="2423160" cy="411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𝑠=1+cos⁡𝑥/1!+cos⁡2𝑥/2!+…</a:t>
              </a:r>
              <a:endParaRPr lang="ru-RU" sz="1200"/>
            </a:p>
          </xdr:txBody>
        </xdr:sp>
      </mc:Fallback>
    </mc:AlternateContent>
    <xdr:clientData/>
  </xdr:oneCellAnchor>
  <xdr:oneCellAnchor>
    <xdr:from>
      <xdr:col>1</xdr:col>
      <xdr:colOff>175260</xdr:colOff>
      <xdr:row>4</xdr:row>
      <xdr:rowOff>15240</xdr:rowOff>
    </xdr:from>
    <xdr:ext cx="144780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5280A9-D703-4CDB-AF4F-9E722C4E30A7}"/>
                </a:ext>
              </a:extLst>
            </xdr:cNvPr>
            <xdr:cNvSpPr txBox="1"/>
          </xdr:nvSpPr>
          <xdr:spPr>
            <a:xfrm>
              <a:off x="784860" y="807720"/>
              <a:ext cx="144780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𝑐𝑜𝑠𝑥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cos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sinX</m:t>
                        </m:r>
                      </m:e>
                    </m:d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5280A9-D703-4CDB-AF4F-9E722C4E30A7}"/>
                </a:ext>
              </a:extLst>
            </xdr:cNvPr>
            <xdr:cNvSpPr txBox="1"/>
          </xdr:nvSpPr>
          <xdr:spPr>
            <a:xfrm>
              <a:off x="784860" y="807720"/>
              <a:ext cx="144780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𝑦=𝑒^𝑐𝑜𝑠𝑥∗cos(sinX)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53340</xdr:colOff>
      <xdr:row>31</xdr:row>
      <xdr:rowOff>41910</xdr:rowOff>
    </xdr:from>
    <xdr:to>
      <xdr:col>7</xdr:col>
      <xdr:colOff>556260</xdr:colOff>
      <xdr:row>46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A2AFEE6-5334-1766-8D13-2BEE70711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ertruda/&#1091;&#1085;/&#1051;&#1072;&#1073;&#1086;&#1088;&#1072;&#1090;&#1086;&#1088;&#1085;&#1099;&#1077;%20&#1088;&#1072;&#1073;&#1086;&#1090;&#1099;%20&#1087;&#1086;%20&#1086;&#1089;&#1085;&#1086;&#1074;&#1072;&#1084;%20&#1080;&#1085;&#1092;&#1086;&#1088;&#1084;&#1072;&#1090;&#1080;&#1082;&#1080;/&#1051;&#1072;&#1073;&#1086;&#1088;&#1072;&#1090;&#1086;&#1088;&#1085;&#1072;&#1103;%20&#1088;&#1072;&#1073;&#1086;&#1090;&#1072;%20&#8470;1%20Excel/&#1051;&#1072;&#1073;&#1086;&#1088;&#1072;&#1090;&#1086;&#1088;&#1085;&#1072;&#1103;%20&#1088;&#1072;&#1073;&#1086;&#1090;&#1072;%20&#1048;&#1097;&#1077;&#1085;&#1082;&#1086;%20&#8470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49">
          <cell r="B49">
            <v>1.3357371293016183</v>
          </cell>
          <cell r="C49">
            <v>1.2182896267863359</v>
          </cell>
          <cell r="D49">
            <v>1.0750616850840666</v>
          </cell>
          <cell r="E49">
            <v>0.92528851007545876</v>
          </cell>
          <cell r="F49">
            <v>0.77290595166695952</v>
          </cell>
          <cell r="G49">
            <v>0.61924107562218922</v>
          </cell>
          <cell r="H49">
            <v>0.4648723326395417</v>
          </cell>
          <cell r="I49">
            <v>0.31009917034321038</v>
          </cell>
          <cell r="J49">
            <v>0.15510046056455518</v>
          </cell>
        </row>
        <row r="50">
          <cell r="B50">
            <v>0.78539816339744828</v>
          </cell>
          <cell r="C50">
            <v>0.78539816339744828</v>
          </cell>
          <cell r="D50">
            <v>0.78539816339744828</v>
          </cell>
          <cell r="E50">
            <v>0.78539816339744828</v>
          </cell>
          <cell r="F50">
            <v>0.78539816339744828</v>
          </cell>
          <cell r="G50">
            <v>0.78539816339744828</v>
          </cell>
          <cell r="H50">
            <v>0.78539816339744828</v>
          </cell>
          <cell r="I50">
            <v>0.78539816339744828</v>
          </cell>
          <cell r="J50">
            <v>0.78539816339744828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M21"/>
  <sheetViews>
    <sheetView tabSelected="1" zoomScale="76" zoomScaleNormal="76" workbookViewId="0">
      <selection activeCell="P5" sqref="P5"/>
    </sheetView>
  </sheetViews>
  <sheetFormatPr defaultRowHeight="15.6" x14ac:dyDescent="0.3"/>
  <cols>
    <col min="1" max="1" width="8.88671875" style="1"/>
    <col min="2" max="2" width="9" style="1" bestFit="1" customWidth="1"/>
    <col min="3" max="3" width="9.6640625" style="1" bestFit="1" customWidth="1"/>
    <col min="4" max="10" width="9" style="1" bestFit="1" customWidth="1"/>
    <col min="11" max="11" width="13.33203125" style="1" bestFit="1" customWidth="1"/>
    <col min="12" max="16384" width="8.88671875" style="1"/>
  </cols>
  <sheetData>
    <row r="1" spans="1:13" x14ac:dyDescent="0.3">
      <c r="A1" s="21" t="s">
        <v>0</v>
      </c>
      <c r="B1" s="21"/>
    </row>
    <row r="2" spans="1:13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x14ac:dyDescent="0.3">
      <c r="B4" s="20"/>
      <c r="C4" s="20"/>
      <c r="D4" s="20"/>
      <c r="E4" s="20"/>
    </row>
    <row r="5" spans="1:13" x14ac:dyDescent="0.3">
      <c r="B5" s="20"/>
      <c r="C5" s="20"/>
      <c r="D5" s="20"/>
      <c r="E5" s="20"/>
    </row>
    <row r="6" spans="1:13" ht="16.2" thickBot="1" x14ac:dyDescent="0.35"/>
    <row r="7" spans="1:13" x14ac:dyDescent="0.3">
      <c r="A7" s="23" t="s">
        <v>21</v>
      </c>
      <c r="B7" s="25">
        <v>1</v>
      </c>
      <c r="C7" s="27">
        <f t="shared" ref="C7:K7" si="0">B7+1</f>
        <v>2</v>
      </c>
      <c r="D7" s="29">
        <f t="shared" si="0"/>
        <v>3</v>
      </c>
      <c r="E7" s="27">
        <f t="shared" si="0"/>
        <v>4</v>
      </c>
      <c r="F7" s="29">
        <f t="shared" si="0"/>
        <v>5</v>
      </c>
      <c r="G7" s="27">
        <f t="shared" si="0"/>
        <v>6</v>
      </c>
      <c r="H7" s="31">
        <f t="shared" si="0"/>
        <v>7</v>
      </c>
      <c r="I7" s="31">
        <f t="shared" si="0"/>
        <v>8</v>
      </c>
      <c r="J7" s="31">
        <f t="shared" si="0"/>
        <v>9</v>
      </c>
      <c r="K7" s="31">
        <f t="shared" si="0"/>
        <v>10</v>
      </c>
      <c r="L7" s="31" t="s">
        <v>2</v>
      </c>
      <c r="M7" s="27" t="s">
        <v>3</v>
      </c>
    </row>
    <row r="8" spans="1:13" ht="16.2" thickBot="1" x14ac:dyDescent="0.35">
      <c r="A8" s="24"/>
      <c r="B8" s="26"/>
      <c r="C8" s="28"/>
      <c r="D8" s="30"/>
      <c r="E8" s="28"/>
      <c r="F8" s="30"/>
      <c r="G8" s="28"/>
      <c r="H8" s="32"/>
      <c r="I8" s="32"/>
      <c r="J8" s="32"/>
      <c r="K8" s="32"/>
      <c r="L8" s="32"/>
      <c r="M8" s="28"/>
    </row>
    <row r="9" spans="1:13" x14ac:dyDescent="0.3">
      <c r="A9" s="2">
        <v>0.1</v>
      </c>
      <c r="B9" s="2">
        <f t="shared" ref="B9:K18" si="1">LN(4)^(B$7-1)/FACT(B$7-1)*$A9^(B$7-1)</f>
        <v>1</v>
      </c>
      <c r="C9" s="2">
        <f t="shared" si="1"/>
        <v>0.13862943611198905</v>
      </c>
      <c r="D9" s="2">
        <f t="shared" si="1"/>
        <v>9.6090602783640289E-3</v>
      </c>
      <c r="E9" s="2">
        <f t="shared" si="1"/>
        <v>4.4403286931857271E-4</v>
      </c>
      <c r="F9" s="2">
        <f t="shared" si="1"/>
        <v>1.5389006572205567E-5</v>
      </c>
      <c r="G9" s="2">
        <f t="shared" si="1"/>
        <v>4.2667386068571036E-7</v>
      </c>
      <c r="H9" s="2">
        <f t="shared" si="1"/>
        <v>9.8582594517642345E-9</v>
      </c>
      <c r="I9" s="2">
        <f t="shared" si="1"/>
        <v>1.9523499269196602E-10</v>
      </c>
      <c r="J9" s="4">
        <f t="shared" si="1"/>
        <v>3.3831646182769443E-12</v>
      </c>
      <c r="K9" s="2">
        <f t="shared" si="1"/>
        <v>5.2111800367307284E-14</v>
      </c>
      <c r="L9" s="8">
        <f>SUM(B9:K9)</f>
        <v>1.1486983549970342</v>
      </c>
      <c r="M9" s="6">
        <f>4^A9</f>
        <v>1.1486983549970351</v>
      </c>
    </row>
    <row r="10" spans="1:13" x14ac:dyDescent="0.3">
      <c r="A10" s="2">
        <f>A9+0.1</f>
        <v>0.2</v>
      </c>
      <c r="B10" s="2">
        <f t="shared" si="1"/>
        <v>1</v>
      </c>
      <c r="C10" s="2">
        <f t="shared" si="1"/>
        <v>0.2772588722239781</v>
      </c>
      <c r="D10" s="2">
        <f t="shared" si="1"/>
        <v>3.8436241113456115E-2</v>
      </c>
      <c r="E10" s="2">
        <f t="shared" si="1"/>
        <v>3.5522629545485817E-3</v>
      </c>
      <c r="F10" s="2">
        <f t="shared" si="1"/>
        <v>2.4622410515528906E-4</v>
      </c>
      <c r="G10" s="2">
        <f t="shared" si="1"/>
        <v>1.3653563541942731E-5</v>
      </c>
      <c r="H10" s="2">
        <f t="shared" si="1"/>
        <v>6.30928604912911E-7</v>
      </c>
      <c r="I10" s="2">
        <f t="shared" si="1"/>
        <v>2.499007906457165E-8</v>
      </c>
      <c r="J10" s="4">
        <f t="shared" si="1"/>
        <v>8.6609014227889774E-10</v>
      </c>
      <c r="K10" s="2">
        <f t="shared" si="1"/>
        <v>2.6681241788061329E-11</v>
      </c>
      <c r="L10" s="8">
        <f t="shared" ref="L10:L18" si="2">SUM(B10:K10)</f>
        <v>1.3195079107721357</v>
      </c>
      <c r="M10" s="6">
        <f t="shared" ref="M10:M18" si="3">4^A10</f>
        <v>1.3195079107728942</v>
      </c>
    </row>
    <row r="11" spans="1:13" x14ac:dyDescent="0.3">
      <c r="A11" s="2">
        <f t="shared" ref="A11:A18" si="4">A10+0.1</f>
        <v>0.30000000000000004</v>
      </c>
      <c r="B11" s="2">
        <f t="shared" si="1"/>
        <v>1</v>
      </c>
      <c r="C11" s="2">
        <f t="shared" si="1"/>
        <v>0.41588830833596724</v>
      </c>
      <c r="D11" s="2">
        <f t="shared" si="1"/>
        <v>8.6481542505276274E-2</v>
      </c>
      <c r="E11" s="2">
        <f t="shared" si="1"/>
        <v>1.1988887471601465E-2</v>
      </c>
      <c r="F11" s="2">
        <f t="shared" si="1"/>
        <v>1.2465095323486511E-3</v>
      </c>
      <c r="G11" s="2">
        <f t="shared" si="1"/>
        <v>1.0368174814662763E-4</v>
      </c>
      <c r="H11" s="2">
        <f t="shared" si="1"/>
        <v>7.1866711403361282E-6</v>
      </c>
      <c r="I11" s="2">
        <f t="shared" si="1"/>
        <v>4.2697892901732983E-7</v>
      </c>
      <c r="J11" s="4">
        <f t="shared" si="1"/>
        <v>2.2196943060515037E-8</v>
      </c>
      <c r="K11" s="2">
        <f t="shared" si="1"/>
        <v>1.0257165666297095E-9</v>
      </c>
      <c r="L11" s="8">
        <f t="shared" si="2"/>
        <v>1.5157165664660692</v>
      </c>
      <c r="M11" s="6">
        <f t="shared" si="3"/>
        <v>1.5157165665103982</v>
      </c>
    </row>
    <row r="12" spans="1:13" x14ac:dyDescent="0.3">
      <c r="A12" s="2">
        <f t="shared" si="4"/>
        <v>0.4</v>
      </c>
      <c r="B12" s="2">
        <f t="shared" si="1"/>
        <v>1</v>
      </c>
      <c r="C12" s="2">
        <f t="shared" si="1"/>
        <v>0.55451774444795621</v>
      </c>
      <c r="D12" s="2">
        <f t="shared" si="1"/>
        <v>0.15374496445382446</v>
      </c>
      <c r="E12" s="2">
        <f t="shared" si="1"/>
        <v>2.8418103636388654E-2</v>
      </c>
      <c r="F12" s="2">
        <f t="shared" si="1"/>
        <v>3.939585682484625E-3</v>
      </c>
      <c r="G12" s="2">
        <f t="shared" si="1"/>
        <v>4.369140333421674E-4</v>
      </c>
      <c r="H12" s="2">
        <f t="shared" si="1"/>
        <v>4.0379430714426304E-5</v>
      </c>
      <c r="I12" s="2">
        <f t="shared" si="1"/>
        <v>3.1987301202651712E-6</v>
      </c>
      <c r="J12" s="4">
        <f t="shared" si="1"/>
        <v>2.2171907642339782E-7</v>
      </c>
      <c r="K12" s="2">
        <f t="shared" si="1"/>
        <v>1.3660795795487401E-8</v>
      </c>
      <c r="L12" s="8">
        <f t="shared" si="2"/>
        <v>1.7411011257947033</v>
      </c>
      <c r="M12" s="6">
        <f t="shared" si="3"/>
        <v>1.7411011265922482</v>
      </c>
    </row>
    <row r="13" spans="1:13" x14ac:dyDescent="0.3">
      <c r="A13" s="2">
        <f t="shared" si="4"/>
        <v>0.5</v>
      </c>
      <c r="B13" s="2">
        <f t="shared" si="1"/>
        <v>1</v>
      </c>
      <c r="C13" s="2">
        <f t="shared" si="1"/>
        <v>0.69314718055994529</v>
      </c>
      <c r="D13" s="2">
        <f t="shared" si="1"/>
        <v>0.24022650695910069</v>
      </c>
      <c r="E13" s="2">
        <f t="shared" si="1"/>
        <v>5.5504108664821576E-2</v>
      </c>
      <c r="F13" s="2">
        <f t="shared" si="1"/>
        <v>9.6181291076284751E-3</v>
      </c>
      <c r="G13" s="2">
        <f t="shared" si="1"/>
        <v>1.3333558146428441E-3</v>
      </c>
      <c r="H13" s="2">
        <f t="shared" si="1"/>
        <v>1.5403530393381606E-4</v>
      </c>
      <c r="I13" s="2">
        <f t="shared" si="1"/>
        <v>1.5252733804059834E-5</v>
      </c>
      <c r="J13" s="4">
        <f t="shared" si="1"/>
        <v>1.3215486790144303E-6</v>
      </c>
      <c r="K13" s="2">
        <f t="shared" si="1"/>
        <v>1.0178086009239695E-7</v>
      </c>
      <c r="L13" s="8">
        <f t="shared" si="2"/>
        <v>1.999999992473416</v>
      </c>
      <c r="M13" s="6">
        <f t="shared" si="3"/>
        <v>2</v>
      </c>
    </row>
    <row r="14" spans="1:13" x14ac:dyDescent="0.3">
      <c r="A14" s="2">
        <f t="shared" si="4"/>
        <v>0.6</v>
      </c>
      <c r="B14" s="2">
        <f t="shared" si="1"/>
        <v>1</v>
      </c>
      <c r="C14" s="2">
        <f t="shared" si="1"/>
        <v>0.83177661667193437</v>
      </c>
      <c r="D14" s="2">
        <f t="shared" si="1"/>
        <v>0.34592617002110498</v>
      </c>
      <c r="E14" s="2">
        <f t="shared" si="1"/>
        <v>9.5911099772811689E-2</v>
      </c>
      <c r="F14" s="2">
        <f t="shared" si="1"/>
        <v>1.9944152517578403E-2</v>
      </c>
      <c r="G14" s="2">
        <f t="shared" si="1"/>
        <v>3.3178159406920815E-3</v>
      </c>
      <c r="H14" s="2">
        <f t="shared" si="1"/>
        <v>4.5994695298151177E-4</v>
      </c>
      <c r="I14" s="2">
        <f t="shared" si="1"/>
        <v>5.4653302914218157E-5</v>
      </c>
      <c r="J14" s="4">
        <f t="shared" si="1"/>
        <v>5.6824174234918426E-6</v>
      </c>
      <c r="K14" s="2">
        <f t="shared" si="1"/>
        <v>5.2516688211441065E-7</v>
      </c>
      <c r="L14" s="8">
        <f t="shared" si="2"/>
        <v>2.2973966627643234</v>
      </c>
      <c r="M14" s="6">
        <f t="shared" si="3"/>
        <v>2.2973967099940702</v>
      </c>
    </row>
    <row r="15" spans="1:13" x14ac:dyDescent="0.3">
      <c r="A15" s="2">
        <f t="shared" si="4"/>
        <v>0.7</v>
      </c>
      <c r="B15" s="2">
        <f t="shared" si="1"/>
        <v>1</v>
      </c>
      <c r="C15" s="2">
        <f t="shared" si="1"/>
        <v>0.97040605278392333</v>
      </c>
      <c r="D15" s="2">
        <f t="shared" si="1"/>
        <v>0.47084395363983728</v>
      </c>
      <c r="E15" s="2">
        <f t="shared" si="1"/>
        <v>0.15230327417627038</v>
      </c>
      <c r="F15" s="2">
        <f t="shared" si="1"/>
        <v>3.6949004779865541E-2</v>
      </c>
      <c r="G15" s="2">
        <f t="shared" si="1"/>
        <v>7.1711075765447272E-3</v>
      </c>
      <c r="H15" s="2">
        <f t="shared" si="1"/>
        <v>1.1598143662406091E-3</v>
      </c>
      <c r="I15" s="2">
        <f t="shared" si="1"/>
        <v>1.6078441158651956E-4</v>
      </c>
      <c r="J15" s="4">
        <f t="shared" si="1"/>
        <v>1.9503270774607518E-5</v>
      </c>
      <c r="K15" s="2">
        <f t="shared" si="1"/>
        <v>2.1028991120847706E-6</v>
      </c>
      <c r="L15" s="8">
        <f t="shared" si="2"/>
        <v>2.6390155979041556</v>
      </c>
      <c r="M15" s="6">
        <f t="shared" si="3"/>
        <v>2.6390158215457884</v>
      </c>
    </row>
    <row r="16" spans="1:13" x14ac:dyDescent="0.3">
      <c r="A16" s="2">
        <f t="shared" si="4"/>
        <v>0.79999999999999993</v>
      </c>
      <c r="B16" s="2">
        <f t="shared" si="1"/>
        <v>1</v>
      </c>
      <c r="C16" s="2">
        <f t="shared" si="1"/>
        <v>1.1090354888959124</v>
      </c>
      <c r="D16" s="2">
        <f t="shared" si="1"/>
        <v>0.61497985781529774</v>
      </c>
      <c r="E16" s="2">
        <f t="shared" si="1"/>
        <v>0.22734482909110912</v>
      </c>
      <c r="F16" s="2">
        <f t="shared" si="1"/>
        <v>6.3033370919753959E-2</v>
      </c>
      <c r="G16" s="2">
        <f t="shared" si="1"/>
        <v>1.3981249066949343E-2</v>
      </c>
      <c r="H16" s="2">
        <f t="shared" si="1"/>
        <v>2.5842835657232804E-3</v>
      </c>
      <c r="I16" s="2">
        <f t="shared" si="1"/>
        <v>4.0943745539394138E-4</v>
      </c>
      <c r="J16" s="4">
        <f t="shared" si="1"/>
        <v>5.6760083564389761E-5</v>
      </c>
      <c r="K16" s="2">
        <f t="shared" si="1"/>
        <v>6.9943274472895373E-6</v>
      </c>
      <c r="L16" s="8">
        <f t="shared" si="2"/>
        <v>3.0314322712211523</v>
      </c>
      <c r="M16" s="6">
        <f t="shared" si="3"/>
        <v>3.031433133020796</v>
      </c>
    </row>
    <row r="17" spans="1:13" x14ac:dyDescent="0.3">
      <c r="A17" s="2">
        <f t="shared" si="4"/>
        <v>0.89999999999999991</v>
      </c>
      <c r="B17" s="2">
        <f t="shared" si="1"/>
        <v>1</v>
      </c>
      <c r="C17" s="2">
        <f t="shared" si="1"/>
        <v>1.2476649250079015</v>
      </c>
      <c r="D17" s="2">
        <f t="shared" si="1"/>
        <v>0.77833388254748603</v>
      </c>
      <c r="E17" s="2">
        <f t="shared" si="1"/>
        <v>0.32369996173323934</v>
      </c>
      <c r="F17" s="2">
        <f t="shared" si="1"/>
        <v>0.10096727212024063</v>
      </c>
      <c r="G17" s="2">
        <f t="shared" si="1"/>
        <v>2.5194664799630482E-2</v>
      </c>
      <c r="H17" s="2">
        <f t="shared" si="1"/>
        <v>5.2390832613050291E-3</v>
      </c>
      <c r="I17" s="2">
        <f t="shared" si="1"/>
        <v>9.338029177608986E-4</v>
      </c>
      <c r="J17" s="4">
        <f t="shared" si="1"/>
        <v>1.4563414342003887E-4</v>
      </c>
      <c r="K17" s="2">
        <f t="shared" si="1"/>
        <v>2.0189179180972529E-5</v>
      </c>
      <c r="L17" s="8">
        <f t="shared" si="2"/>
        <v>3.482199415710165</v>
      </c>
      <c r="M17" s="6">
        <f t="shared" si="3"/>
        <v>3.4822022531844965</v>
      </c>
    </row>
    <row r="18" spans="1:13" ht="16.2" thickBot="1" x14ac:dyDescent="0.35">
      <c r="A18" s="3">
        <f t="shared" si="4"/>
        <v>0.99999999999999989</v>
      </c>
      <c r="B18" s="3">
        <f t="shared" si="1"/>
        <v>1</v>
      </c>
      <c r="C18" s="3">
        <f t="shared" si="1"/>
        <v>1.3862943611198904</v>
      </c>
      <c r="D18" s="3">
        <f t="shared" si="1"/>
        <v>0.96090602783640255</v>
      </c>
      <c r="E18" s="3">
        <f t="shared" si="1"/>
        <v>0.44403286931857244</v>
      </c>
      <c r="F18" s="3">
        <f t="shared" si="1"/>
        <v>0.15389006572205555</v>
      </c>
      <c r="G18" s="3">
        <f t="shared" si="1"/>
        <v>4.2667386068570991E-2</v>
      </c>
      <c r="H18" s="3">
        <f t="shared" si="1"/>
        <v>9.8582594517642209E-3</v>
      </c>
      <c r="I18" s="3">
        <f t="shared" si="1"/>
        <v>1.9523499269196573E-3</v>
      </c>
      <c r="J18" s="5">
        <f t="shared" si="1"/>
        <v>3.3831646182769384E-4</v>
      </c>
      <c r="K18" s="3">
        <f t="shared" si="1"/>
        <v>5.2111800367307182E-5</v>
      </c>
      <c r="L18" s="9">
        <f t="shared" si="2"/>
        <v>3.9999917477063711</v>
      </c>
      <c r="M18" s="7">
        <f t="shared" si="3"/>
        <v>3.9999999999999991</v>
      </c>
    </row>
    <row r="21" spans="1:13" x14ac:dyDescent="0.3">
      <c r="A21" s="1" t="s">
        <v>4</v>
      </c>
    </row>
  </sheetData>
  <mergeCells count="16">
    <mergeCell ref="B4:E5"/>
    <mergeCell ref="A1:B1"/>
    <mergeCell ref="A2:M2"/>
    <mergeCell ref="A7:A8"/>
    <mergeCell ref="B7:B8"/>
    <mergeCell ref="C7:C8"/>
    <mergeCell ref="D7:D8"/>
    <mergeCell ref="E7:E8"/>
    <mergeCell ref="L7:L8"/>
    <mergeCell ref="M7:M8"/>
    <mergeCell ref="F7:F8"/>
    <mergeCell ref="G7:G8"/>
    <mergeCell ref="H7:H8"/>
    <mergeCell ref="I7:I8"/>
    <mergeCell ref="J7:J8"/>
    <mergeCell ref="K7:K8"/>
  </mergeCells>
  <conditionalFormatting sqref="B9:M18">
    <cfRule type="cellIs" dxfId="62" priority="4" operator="greaterThan">
      <formula>1.5</formula>
    </cfRule>
    <cfRule type="cellIs" dxfId="61" priority="3" operator="lessThan">
      <formula>0</formula>
    </cfRule>
    <cfRule type="cellIs" dxfId="60" priority="2" operator="greaterThan">
      <formula>1.5</formula>
    </cfRule>
    <cfRule type="cellIs" dxfId="59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J50"/>
  <sheetViews>
    <sheetView zoomScale="78" workbookViewId="0">
      <selection activeCell="C14" sqref="C14"/>
    </sheetView>
  </sheetViews>
  <sheetFormatPr defaultRowHeight="14.4" x14ac:dyDescent="0.3"/>
  <sheetData>
    <row r="1" spans="1:10" ht="15.6" x14ac:dyDescent="0.3">
      <c r="A1" s="21" t="s">
        <v>5</v>
      </c>
      <c r="B1" s="21"/>
      <c r="C1" s="1"/>
      <c r="D1" s="1"/>
      <c r="E1" s="1"/>
      <c r="F1" s="1"/>
      <c r="G1" s="1"/>
      <c r="H1" s="1"/>
      <c r="I1" s="1"/>
      <c r="J1" s="1"/>
    </row>
    <row r="2" spans="1:10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6" x14ac:dyDescent="0.3">
      <c r="A4" s="1"/>
      <c r="B4" s="20"/>
      <c r="C4" s="20"/>
      <c r="D4" s="20"/>
      <c r="E4" s="1"/>
      <c r="F4" s="1"/>
      <c r="G4" s="1"/>
      <c r="H4" s="1"/>
      <c r="I4" s="1"/>
      <c r="J4" s="1"/>
    </row>
    <row r="5" spans="1:10" ht="15.6" x14ac:dyDescent="0.3">
      <c r="A5" s="1"/>
      <c r="B5" s="20"/>
      <c r="C5" s="20"/>
      <c r="D5" s="20"/>
      <c r="E5" s="1"/>
      <c r="F5" s="1"/>
      <c r="G5" s="1"/>
      <c r="H5" s="1"/>
      <c r="I5" s="1"/>
      <c r="J5" s="1"/>
    </row>
    <row r="6" spans="1:10" ht="16.2" thickBot="1" x14ac:dyDescent="0.35">
      <c r="A6" s="1"/>
      <c r="B6" s="33"/>
      <c r="C6" s="33"/>
      <c r="D6" s="1"/>
      <c r="E6" s="1"/>
      <c r="F6" s="1"/>
      <c r="G6" s="1"/>
      <c r="H6" s="1"/>
      <c r="I6" s="1"/>
      <c r="J6" s="1"/>
    </row>
    <row r="7" spans="1:10" ht="14.4" customHeight="1" x14ac:dyDescent="0.3">
      <c r="A7" s="23" t="s">
        <v>23</v>
      </c>
      <c r="B7" s="25">
        <f>PI() / 5</f>
        <v>0.62831853071795862</v>
      </c>
      <c r="C7" s="27">
        <f>B7+PI()/5</f>
        <v>1.2566370614359172</v>
      </c>
      <c r="D7" s="27">
        <f t="shared" ref="D7:J7" si="0">C7+PI()/5</f>
        <v>1.8849555921538759</v>
      </c>
      <c r="E7" s="27">
        <f t="shared" si="0"/>
        <v>2.5132741228718345</v>
      </c>
      <c r="F7" s="27">
        <f t="shared" si="0"/>
        <v>3.1415926535897931</v>
      </c>
      <c r="G7" s="27">
        <f t="shared" si="0"/>
        <v>3.7699111843077517</v>
      </c>
      <c r="H7" s="27">
        <f t="shared" si="0"/>
        <v>4.3982297150257104</v>
      </c>
      <c r="I7" s="27">
        <f t="shared" si="0"/>
        <v>5.026548245743669</v>
      </c>
      <c r="J7" s="27">
        <f t="shared" si="0"/>
        <v>5.6548667764616276</v>
      </c>
    </row>
    <row r="8" spans="1:10" ht="15" customHeight="1" thickBot="1" x14ac:dyDescent="0.35">
      <c r="A8" s="24"/>
      <c r="B8" s="26"/>
      <c r="C8" s="28"/>
      <c r="D8" s="28"/>
      <c r="E8" s="28"/>
      <c r="F8" s="28"/>
      <c r="G8" s="28"/>
      <c r="H8" s="28"/>
      <c r="I8" s="28"/>
      <c r="J8" s="28"/>
    </row>
    <row r="9" spans="1:10" ht="15.6" x14ac:dyDescent="0.3">
      <c r="A9" s="2">
        <v>1</v>
      </c>
      <c r="B9" s="2">
        <f>COS(B$7*$A9)/$A9</f>
        <v>0.80901699437494745</v>
      </c>
      <c r="C9" s="2">
        <f t="shared" ref="C9:J24" si="1">COS(C$7*$A9)/$A9</f>
        <v>0.30901699437494745</v>
      </c>
      <c r="D9" s="2">
        <f t="shared" si="1"/>
        <v>-0.30901699437494734</v>
      </c>
      <c r="E9" s="2">
        <f t="shared" si="1"/>
        <v>-0.80901699437494734</v>
      </c>
      <c r="F9" s="2">
        <f t="shared" si="1"/>
        <v>-1</v>
      </c>
      <c r="G9" s="2">
        <f t="shared" si="1"/>
        <v>-0.80901699437494756</v>
      </c>
      <c r="H9" s="2">
        <f t="shared" si="1"/>
        <v>-0.30901699437494756</v>
      </c>
      <c r="I9" s="2">
        <f t="shared" si="1"/>
        <v>0.30901699437494723</v>
      </c>
      <c r="J9" s="2">
        <f t="shared" si="1"/>
        <v>0.80901699437494734</v>
      </c>
    </row>
    <row r="10" spans="1:10" ht="15.6" x14ac:dyDescent="0.3">
      <c r="A10" s="2">
        <f>A9+1</f>
        <v>2</v>
      </c>
      <c r="B10" s="2">
        <f t="shared" ref="B10:J25" si="2">COS(B$7*$A10)/$A10</f>
        <v>0.15450849718747373</v>
      </c>
      <c r="C10" s="2">
        <f t="shared" si="1"/>
        <v>-0.40450849718747367</v>
      </c>
      <c r="D10" s="2">
        <f t="shared" si="1"/>
        <v>-0.40450849718747378</v>
      </c>
      <c r="E10" s="2">
        <f t="shared" si="1"/>
        <v>0.15450849718747361</v>
      </c>
      <c r="F10" s="2">
        <f t="shared" si="1"/>
        <v>0.5</v>
      </c>
      <c r="G10" s="2">
        <f t="shared" si="1"/>
        <v>0.15450849718747386</v>
      </c>
      <c r="H10" s="2">
        <f t="shared" si="1"/>
        <v>-0.40450849718747361</v>
      </c>
      <c r="I10" s="2">
        <f t="shared" si="1"/>
        <v>-0.40450849718747384</v>
      </c>
      <c r="J10" s="2">
        <f t="shared" si="1"/>
        <v>0.1545084971874735</v>
      </c>
    </row>
    <row r="11" spans="1:10" ht="15.6" x14ac:dyDescent="0.3">
      <c r="A11" s="2">
        <f t="shared" ref="A11:A48" si="3">A10+1</f>
        <v>3</v>
      </c>
      <c r="B11" s="2">
        <f t="shared" si="2"/>
        <v>-0.10300566479164912</v>
      </c>
      <c r="C11" s="2">
        <f t="shared" si="1"/>
        <v>-0.26967233145831587</v>
      </c>
      <c r="D11" s="2">
        <f t="shared" si="1"/>
        <v>0.26967233145831576</v>
      </c>
      <c r="E11" s="2">
        <f t="shared" si="1"/>
        <v>0.10300566479164924</v>
      </c>
      <c r="F11" s="2">
        <f t="shared" si="1"/>
        <v>-0.33333333333333331</v>
      </c>
      <c r="G11" s="2">
        <f t="shared" si="1"/>
        <v>0.10300566479164901</v>
      </c>
      <c r="H11" s="2">
        <f t="shared" si="1"/>
        <v>0.26967233145831587</v>
      </c>
      <c r="I11" s="2">
        <f t="shared" si="1"/>
        <v>-0.26967233145831571</v>
      </c>
      <c r="J11" s="2">
        <f t="shared" si="1"/>
        <v>-0.10300566479164935</v>
      </c>
    </row>
    <row r="12" spans="1:10" ht="15.6" x14ac:dyDescent="0.3">
      <c r="A12" s="2">
        <f t="shared" si="3"/>
        <v>4</v>
      </c>
      <c r="B12" s="2">
        <f t="shared" si="2"/>
        <v>-0.20225424859373684</v>
      </c>
      <c r="C12" s="2">
        <f t="shared" si="1"/>
        <v>7.7254248593736807E-2</v>
      </c>
      <c r="D12" s="2">
        <f t="shared" si="1"/>
        <v>7.7254248593736932E-2</v>
      </c>
      <c r="E12" s="2">
        <f t="shared" si="1"/>
        <v>-0.20225424859373692</v>
      </c>
      <c r="F12" s="2">
        <f t="shared" si="1"/>
        <v>0.25</v>
      </c>
      <c r="G12" s="2">
        <f t="shared" si="1"/>
        <v>-0.20225424859373678</v>
      </c>
      <c r="H12" s="2">
        <f t="shared" si="1"/>
        <v>7.7254248593736696E-2</v>
      </c>
      <c r="I12" s="2">
        <f t="shared" si="1"/>
        <v>7.7254248593737043E-2</v>
      </c>
      <c r="J12" s="2">
        <f t="shared" si="1"/>
        <v>-0.20225424859373697</v>
      </c>
    </row>
    <row r="13" spans="1:10" ht="15.6" x14ac:dyDescent="0.3">
      <c r="A13" s="2">
        <f t="shared" si="3"/>
        <v>5</v>
      </c>
      <c r="B13" s="2">
        <f t="shared" si="2"/>
        <v>-0.2</v>
      </c>
      <c r="C13" s="2">
        <f t="shared" si="1"/>
        <v>0.2</v>
      </c>
      <c r="D13" s="2">
        <f t="shared" si="1"/>
        <v>-0.2</v>
      </c>
      <c r="E13" s="2">
        <f t="shared" si="1"/>
        <v>0.2</v>
      </c>
      <c r="F13" s="2">
        <f t="shared" si="1"/>
        <v>-0.2</v>
      </c>
      <c r="G13" s="2">
        <f t="shared" si="1"/>
        <v>0.2</v>
      </c>
      <c r="H13" s="2">
        <f t="shared" si="1"/>
        <v>-0.2</v>
      </c>
      <c r="I13" s="2">
        <f t="shared" si="1"/>
        <v>0.2</v>
      </c>
      <c r="J13" s="2">
        <f t="shared" si="1"/>
        <v>-0.2</v>
      </c>
    </row>
    <row r="14" spans="1:10" ht="15.6" x14ac:dyDescent="0.3">
      <c r="A14" s="2">
        <f t="shared" si="3"/>
        <v>6</v>
      </c>
      <c r="B14" s="2">
        <f t="shared" si="2"/>
        <v>-0.13483616572915794</v>
      </c>
      <c r="C14" s="2">
        <f t="shared" si="1"/>
        <v>5.1502832395824621E-2</v>
      </c>
      <c r="D14" s="2">
        <f t="shared" si="1"/>
        <v>5.1502832395824504E-2</v>
      </c>
      <c r="E14" s="2">
        <f t="shared" si="1"/>
        <v>-0.13483616572915785</v>
      </c>
      <c r="F14" s="2">
        <f t="shared" si="1"/>
        <v>0.16666666666666666</v>
      </c>
      <c r="G14" s="2">
        <f t="shared" si="1"/>
        <v>-0.13483616572915799</v>
      </c>
      <c r="H14" s="2">
        <f t="shared" si="1"/>
        <v>5.1502832395824732E-2</v>
      </c>
      <c r="I14" s="2">
        <f t="shared" si="1"/>
        <v>5.1502832395824379E-2</v>
      </c>
      <c r="J14" s="2">
        <f t="shared" si="1"/>
        <v>-0.13483616572915777</v>
      </c>
    </row>
    <row r="15" spans="1:10" ht="15.6" x14ac:dyDescent="0.3">
      <c r="A15" s="2">
        <f t="shared" si="3"/>
        <v>7</v>
      </c>
      <c r="B15" s="2">
        <f t="shared" si="2"/>
        <v>-4.4145284910706795E-2</v>
      </c>
      <c r="C15" s="2">
        <f t="shared" si="1"/>
        <v>-0.11557385633927818</v>
      </c>
      <c r="D15" s="2">
        <f t="shared" si="1"/>
        <v>0.11557385633927823</v>
      </c>
      <c r="E15" s="2">
        <f t="shared" si="1"/>
        <v>4.4145284910706684E-2</v>
      </c>
      <c r="F15" s="2">
        <f t="shared" si="1"/>
        <v>-0.14285714285714285</v>
      </c>
      <c r="G15" s="2">
        <f t="shared" si="1"/>
        <v>4.4145284910706913E-2</v>
      </c>
      <c r="H15" s="2">
        <f t="shared" si="1"/>
        <v>0.11557385633927809</v>
      </c>
      <c r="I15" s="2">
        <f t="shared" si="1"/>
        <v>-0.11557385633927832</v>
      </c>
      <c r="J15" s="2">
        <f t="shared" si="1"/>
        <v>-4.414528491070608E-2</v>
      </c>
    </row>
    <row r="16" spans="1:10" ht="15.6" x14ac:dyDescent="0.3">
      <c r="A16" s="2">
        <f t="shared" si="3"/>
        <v>8</v>
      </c>
      <c r="B16" s="2">
        <f t="shared" si="2"/>
        <v>3.8627124296868404E-2</v>
      </c>
      <c r="C16" s="2">
        <f t="shared" si="1"/>
        <v>-0.10112712429686846</v>
      </c>
      <c r="D16" s="2">
        <f t="shared" si="1"/>
        <v>-0.10112712429686839</v>
      </c>
      <c r="E16" s="2">
        <f t="shared" si="1"/>
        <v>3.8627124296868522E-2</v>
      </c>
      <c r="F16" s="2">
        <f t="shared" si="1"/>
        <v>0.125</v>
      </c>
      <c r="G16" s="2">
        <f t="shared" si="1"/>
        <v>3.8627124296868286E-2</v>
      </c>
      <c r="H16" s="2">
        <f t="shared" si="1"/>
        <v>-0.10112712429686853</v>
      </c>
      <c r="I16" s="2">
        <f t="shared" si="1"/>
        <v>-0.10112712429686831</v>
      </c>
      <c r="J16" s="2">
        <f t="shared" si="1"/>
        <v>3.862712429686864E-2</v>
      </c>
    </row>
    <row r="17" spans="1:10" ht="15.6" x14ac:dyDescent="0.3">
      <c r="A17" s="2">
        <f t="shared" si="3"/>
        <v>9</v>
      </c>
      <c r="B17" s="2">
        <f t="shared" si="2"/>
        <v>8.9890777152771925E-2</v>
      </c>
      <c r="C17" s="2">
        <f t="shared" si="1"/>
        <v>3.4335221597216331E-2</v>
      </c>
      <c r="D17" s="2">
        <f t="shared" si="1"/>
        <v>-3.4335221597216449E-2</v>
      </c>
      <c r="E17" s="2">
        <f t="shared" si="1"/>
        <v>-8.9890777152771995E-2</v>
      </c>
      <c r="F17" s="2">
        <f t="shared" si="1"/>
        <v>-0.1111111111111111</v>
      </c>
      <c r="G17" s="2">
        <f t="shared" si="1"/>
        <v>-8.9890777152771856E-2</v>
      </c>
      <c r="H17" s="2">
        <f t="shared" si="1"/>
        <v>-3.4335221597215838E-2</v>
      </c>
      <c r="I17" s="2">
        <f t="shared" si="1"/>
        <v>3.4335221597216567E-2</v>
      </c>
      <c r="J17" s="2">
        <f t="shared" si="1"/>
        <v>8.9890777152771828E-2</v>
      </c>
    </row>
    <row r="18" spans="1:10" ht="15.6" x14ac:dyDescent="0.3">
      <c r="A18" s="2">
        <f t="shared" si="3"/>
        <v>10</v>
      </c>
      <c r="B18" s="2">
        <f t="shared" si="2"/>
        <v>0.1</v>
      </c>
      <c r="C18" s="2">
        <f t="shared" si="1"/>
        <v>0.1</v>
      </c>
      <c r="D18" s="2">
        <f t="shared" si="1"/>
        <v>0.1</v>
      </c>
      <c r="E18" s="2">
        <f t="shared" si="1"/>
        <v>0.1</v>
      </c>
      <c r="F18" s="2">
        <f t="shared" si="1"/>
        <v>0.1</v>
      </c>
      <c r="G18" s="2">
        <f t="shared" si="1"/>
        <v>0.1</v>
      </c>
      <c r="H18" s="2">
        <f t="shared" si="1"/>
        <v>0.1</v>
      </c>
      <c r="I18" s="2">
        <f t="shared" si="1"/>
        <v>0.1</v>
      </c>
      <c r="J18" s="2">
        <f t="shared" si="1"/>
        <v>0.1</v>
      </c>
    </row>
    <row r="19" spans="1:10" ht="15.6" x14ac:dyDescent="0.3">
      <c r="A19" s="2">
        <f t="shared" si="3"/>
        <v>11</v>
      </c>
      <c r="B19" s="2">
        <f>COS(B$7*$A19)/$A19</f>
        <v>7.3546999488631595E-2</v>
      </c>
      <c r="C19" s="2">
        <f t="shared" si="1"/>
        <v>2.8092454034086178E-2</v>
      </c>
      <c r="D19" s="2">
        <f t="shared" si="1"/>
        <v>-2.809245403408606E-2</v>
      </c>
      <c r="E19" s="2">
        <f t="shared" si="1"/>
        <v>-7.3546999488631526E-2</v>
      </c>
      <c r="F19" s="2">
        <f t="shared" si="1"/>
        <v>-9.0909090909090912E-2</v>
      </c>
      <c r="G19" s="2">
        <f t="shared" si="1"/>
        <v>-7.3546999488631665E-2</v>
      </c>
      <c r="H19" s="2">
        <f t="shared" si="1"/>
        <v>-2.8092454034085987E-2</v>
      </c>
      <c r="I19" s="2">
        <f t="shared" si="1"/>
        <v>2.8092454034085945E-2</v>
      </c>
      <c r="J19" s="2">
        <f t="shared" si="1"/>
        <v>7.3546999488631262E-2</v>
      </c>
    </row>
    <row r="20" spans="1:10" ht="15.6" x14ac:dyDescent="0.3">
      <c r="A20" s="2">
        <f t="shared" si="3"/>
        <v>12</v>
      </c>
      <c r="B20" s="2">
        <f t="shared" si="2"/>
        <v>2.5751416197912311E-2</v>
      </c>
      <c r="C20" s="2">
        <f t="shared" si="1"/>
        <v>-6.7418082864578927E-2</v>
      </c>
      <c r="D20" s="2">
        <f t="shared" si="1"/>
        <v>-6.7418082864578996E-2</v>
      </c>
      <c r="E20" s="2">
        <f t="shared" si="1"/>
        <v>2.5751416197912189E-2</v>
      </c>
      <c r="F20" s="2">
        <f t="shared" si="1"/>
        <v>8.3333333333333329E-2</v>
      </c>
      <c r="G20" s="2">
        <f t="shared" si="1"/>
        <v>2.5751416197912425E-2</v>
      </c>
      <c r="H20" s="2">
        <f t="shared" si="1"/>
        <v>-6.7418082864578857E-2</v>
      </c>
      <c r="I20" s="2">
        <f t="shared" si="1"/>
        <v>-6.7418082864579065E-2</v>
      </c>
      <c r="J20" s="2">
        <f t="shared" si="1"/>
        <v>2.5751416197912075E-2</v>
      </c>
    </row>
    <row r="21" spans="1:10" ht="15.6" x14ac:dyDescent="0.3">
      <c r="A21" s="2">
        <f t="shared" si="3"/>
        <v>13</v>
      </c>
      <c r="B21" s="2">
        <f t="shared" si="2"/>
        <v>-2.3770538028842086E-2</v>
      </c>
      <c r="C21" s="2">
        <f t="shared" si="1"/>
        <v>-6.2232076490380601E-2</v>
      </c>
      <c r="D21" s="2">
        <f t="shared" si="1"/>
        <v>6.2232076490380532E-2</v>
      </c>
      <c r="E21" s="2">
        <f t="shared" si="1"/>
        <v>2.37705380288422E-2</v>
      </c>
      <c r="F21" s="2">
        <f t="shared" si="1"/>
        <v>-7.6923076923076927E-2</v>
      </c>
      <c r="G21" s="2">
        <f t="shared" si="1"/>
        <v>2.3770538028841971E-2</v>
      </c>
      <c r="H21" s="2">
        <f t="shared" si="1"/>
        <v>6.223207649038083E-2</v>
      </c>
      <c r="I21" s="2">
        <f t="shared" si="1"/>
        <v>-6.2232076490380456E-2</v>
      </c>
      <c r="J21" s="2">
        <f t="shared" si="1"/>
        <v>-2.3770538028842061E-2</v>
      </c>
    </row>
    <row r="22" spans="1:10" ht="15.6" x14ac:dyDescent="0.3">
      <c r="A22" s="2">
        <f t="shared" si="3"/>
        <v>14</v>
      </c>
      <c r="B22" s="2">
        <f t="shared" si="2"/>
        <v>-5.7786928169639089E-2</v>
      </c>
      <c r="C22" s="2">
        <f t="shared" si="1"/>
        <v>2.2072642455353342E-2</v>
      </c>
      <c r="D22" s="2">
        <f t="shared" si="1"/>
        <v>2.2072642455353456E-2</v>
      </c>
      <c r="E22" s="2">
        <f t="shared" si="1"/>
        <v>-5.7786928169639158E-2</v>
      </c>
      <c r="F22" s="2">
        <f t="shared" si="1"/>
        <v>7.1428571428571425E-2</v>
      </c>
      <c r="G22" s="2">
        <f t="shared" si="1"/>
        <v>-5.7786928169639019E-2</v>
      </c>
      <c r="H22" s="2">
        <f t="shared" si="1"/>
        <v>2.2072642455353224E-2</v>
      </c>
      <c r="I22" s="2">
        <f t="shared" si="1"/>
        <v>2.2072642455353574E-2</v>
      </c>
      <c r="J22" s="2">
        <f t="shared" si="1"/>
        <v>-5.7786928169639533E-2</v>
      </c>
    </row>
    <row r="23" spans="1:10" ht="15.6" x14ac:dyDescent="0.3">
      <c r="A23" s="2">
        <f t="shared" si="3"/>
        <v>15</v>
      </c>
      <c r="B23" s="2">
        <f t="shared" si="2"/>
        <v>-6.6666666666666666E-2</v>
      </c>
      <c r="C23" s="2">
        <f t="shared" si="1"/>
        <v>6.6666666666666666E-2</v>
      </c>
      <c r="D23" s="2">
        <f t="shared" si="1"/>
        <v>-6.6666666666666666E-2</v>
      </c>
      <c r="E23" s="2">
        <f t="shared" si="1"/>
        <v>6.6666666666666666E-2</v>
      </c>
      <c r="F23" s="2">
        <f t="shared" si="1"/>
        <v>-6.6666666666666666E-2</v>
      </c>
      <c r="G23" s="2">
        <f t="shared" si="1"/>
        <v>6.6666666666666666E-2</v>
      </c>
      <c r="H23" s="2">
        <f t="shared" si="1"/>
        <v>-6.6666666666666666E-2</v>
      </c>
      <c r="I23" s="2">
        <f t="shared" si="1"/>
        <v>6.6666666666666666E-2</v>
      </c>
      <c r="J23" s="2">
        <f t="shared" si="1"/>
        <v>-6.6666666666666666E-2</v>
      </c>
    </row>
    <row r="24" spans="1:10" ht="15.6" x14ac:dyDescent="0.3">
      <c r="A24" s="2">
        <f t="shared" si="3"/>
        <v>16</v>
      </c>
      <c r="B24" s="2">
        <f t="shared" si="2"/>
        <v>-5.056356214843423E-2</v>
      </c>
      <c r="C24" s="2">
        <f t="shared" si="1"/>
        <v>1.9313562148434261E-2</v>
      </c>
      <c r="D24" s="2">
        <f t="shared" si="1"/>
        <v>1.9313562148434143E-2</v>
      </c>
      <c r="E24" s="2">
        <f t="shared" si="1"/>
        <v>-5.0563562148434153E-2</v>
      </c>
      <c r="F24" s="2">
        <f t="shared" si="1"/>
        <v>6.25E-2</v>
      </c>
      <c r="G24" s="2">
        <f t="shared" si="1"/>
        <v>-5.0563562148434299E-2</v>
      </c>
      <c r="H24" s="2">
        <f t="shared" si="1"/>
        <v>1.9313562148434379E-2</v>
      </c>
      <c r="I24" s="2">
        <f t="shared" si="1"/>
        <v>1.9313562148434028E-2</v>
      </c>
      <c r="J24" s="2">
        <f t="shared" si="1"/>
        <v>-5.0563562148434084E-2</v>
      </c>
    </row>
    <row r="25" spans="1:10" ht="15.6" x14ac:dyDescent="0.3">
      <c r="A25" s="2">
        <f t="shared" si="3"/>
        <v>17</v>
      </c>
      <c r="B25" s="2">
        <f t="shared" si="2"/>
        <v>-1.8177470257349872E-2</v>
      </c>
      <c r="C25" s="2">
        <f t="shared" si="2"/>
        <v>-4.7589234963232169E-2</v>
      </c>
      <c r="D25" s="2">
        <f t="shared" si="2"/>
        <v>4.7589234963232363E-2</v>
      </c>
      <c r="E25" s="2">
        <f t="shared" si="2"/>
        <v>1.8177470257349754E-2</v>
      </c>
      <c r="F25" s="2">
        <f t="shared" si="2"/>
        <v>-5.8823529411764705E-2</v>
      </c>
      <c r="G25" s="2">
        <f t="shared" si="2"/>
        <v>1.8177470257350385E-2</v>
      </c>
      <c r="H25" s="2">
        <f t="shared" si="2"/>
        <v>4.7589234963231981E-2</v>
      </c>
      <c r="I25" s="2">
        <f t="shared" si="2"/>
        <v>-4.7589234963232314E-2</v>
      </c>
      <c r="J25" s="2">
        <f t="shared" si="2"/>
        <v>-1.8177470257349837E-2</v>
      </c>
    </row>
    <row r="26" spans="1:10" ht="15.6" x14ac:dyDescent="0.3">
      <c r="A26" s="2">
        <f t="shared" si="3"/>
        <v>18</v>
      </c>
      <c r="B26" s="2">
        <f t="shared" ref="B26:J41" si="4">COS(B$7*$A26)/$A26</f>
        <v>1.7167610798608166E-2</v>
      </c>
      <c r="C26" s="2">
        <f t="shared" si="4"/>
        <v>-4.4945388576385997E-2</v>
      </c>
      <c r="D26" s="2">
        <f t="shared" si="4"/>
        <v>-4.4945388576385928E-2</v>
      </c>
      <c r="E26" s="2">
        <f t="shared" si="4"/>
        <v>1.7167610798608283E-2</v>
      </c>
      <c r="F26" s="2">
        <f t="shared" si="4"/>
        <v>5.5555555555555552E-2</v>
      </c>
      <c r="G26" s="2">
        <f t="shared" si="4"/>
        <v>1.7167610798608051E-2</v>
      </c>
      <c r="H26" s="2">
        <f t="shared" si="4"/>
        <v>-4.4945388576386303E-2</v>
      </c>
      <c r="I26" s="2">
        <f t="shared" si="4"/>
        <v>-4.4945388576385852E-2</v>
      </c>
      <c r="J26" s="2">
        <f t="shared" si="4"/>
        <v>1.7167610798608027E-2</v>
      </c>
    </row>
    <row r="27" spans="1:10" ht="15.6" x14ac:dyDescent="0.3">
      <c r="A27" s="2">
        <f t="shared" si="3"/>
        <v>19</v>
      </c>
      <c r="B27" s="2">
        <f t="shared" si="4"/>
        <v>4.2579841809207743E-2</v>
      </c>
      <c r="C27" s="2">
        <f t="shared" si="4"/>
        <v>1.6264052335523502E-2</v>
      </c>
      <c r="D27" s="2">
        <f t="shared" si="4"/>
        <v>-1.6264052335523443E-2</v>
      </c>
      <c r="E27" s="2">
        <f t="shared" si="4"/>
        <v>-4.2579841809207819E-2</v>
      </c>
      <c r="F27" s="2">
        <f t="shared" si="4"/>
        <v>-5.2631578947368418E-2</v>
      </c>
      <c r="G27" s="2">
        <f t="shared" si="4"/>
        <v>-4.2579841809207895E-2</v>
      </c>
      <c r="H27" s="2">
        <f t="shared" si="4"/>
        <v>-1.6264052335523565E-2</v>
      </c>
      <c r="I27" s="2">
        <f t="shared" si="4"/>
        <v>1.6264052335523735E-2</v>
      </c>
      <c r="J27" s="2">
        <f t="shared" si="4"/>
        <v>4.2579841809207999E-2</v>
      </c>
    </row>
    <row r="28" spans="1:10" ht="15.6" x14ac:dyDescent="0.3">
      <c r="A28" s="2">
        <f t="shared" si="3"/>
        <v>20</v>
      </c>
      <c r="B28" s="2">
        <f t="shared" si="4"/>
        <v>0.05</v>
      </c>
      <c r="C28" s="2">
        <f t="shared" si="4"/>
        <v>0.05</v>
      </c>
      <c r="D28" s="2">
        <f t="shared" si="4"/>
        <v>0.05</v>
      </c>
      <c r="E28" s="2">
        <f t="shared" si="4"/>
        <v>0.05</v>
      </c>
      <c r="F28" s="2">
        <f t="shared" si="4"/>
        <v>0.05</v>
      </c>
      <c r="G28" s="2">
        <f t="shared" si="4"/>
        <v>0.05</v>
      </c>
      <c r="H28" s="2">
        <f t="shared" si="4"/>
        <v>0.05</v>
      </c>
      <c r="I28" s="2">
        <f t="shared" si="4"/>
        <v>0.05</v>
      </c>
      <c r="J28" s="2">
        <f t="shared" si="4"/>
        <v>0.05</v>
      </c>
    </row>
    <row r="29" spans="1:10" ht="15.6" x14ac:dyDescent="0.3">
      <c r="A29" s="2">
        <f t="shared" si="3"/>
        <v>21</v>
      </c>
      <c r="B29" s="2">
        <f t="shared" si="4"/>
        <v>3.8524618779759413E-2</v>
      </c>
      <c r="C29" s="2">
        <f t="shared" si="4"/>
        <v>1.4715094970235638E-2</v>
      </c>
      <c r="D29" s="2">
        <f t="shared" si="4"/>
        <v>-1.4715094970235361E-2</v>
      </c>
      <c r="E29" s="2">
        <f t="shared" si="4"/>
        <v>-3.8524618779759344E-2</v>
      </c>
      <c r="F29" s="2">
        <f t="shared" si="4"/>
        <v>-4.7619047619047616E-2</v>
      </c>
      <c r="G29" s="2">
        <f t="shared" si="4"/>
        <v>-3.8524618779759691E-2</v>
      </c>
      <c r="H29" s="2">
        <f t="shared" si="4"/>
        <v>-1.4715094970235916E-2</v>
      </c>
      <c r="I29" s="2">
        <f t="shared" si="4"/>
        <v>1.4715094970235406E-2</v>
      </c>
      <c r="J29" s="2">
        <f t="shared" si="4"/>
        <v>3.8524618779759372E-2</v>
      </c>
    </row>
    <row r="30" spans="1:10" ht="15.6" x14ac:dyDescent="0.3">
      <c r="A30" s="2">
        <f t="shared" si="3"/>
        <v>22</v>
      </c>
      <c r="B30" s="2">
        <f t="shared" si="4"/>
        <v>1.4046227017043089E-2</v>
      </c>
      <c r="C30" s="2">
        <f t="shared" si="4"/>
        <v>-3.6773499744315763E-2</v>
      </c>
      <c r="D30" s="2">
        <f t="shared" si="4"/>
        <v>-3.6773499744315832E-2</v>
      </c>
      <c r="E30" s="2">
        <f t="shared" si="4"/>
        <v>1.4046227017042973E-2</v>
      </c>
      <c r="F30" s="2">
        <f t="shared" si="4"/>
        <v>4.5454545454545456E-2</v>
      </c>
      <c r="G30" s="2">
        <f t="shared" si="4"/>
        <v>1.4046227017043205E-2</v>
      </c>
      <c r="H30" s="2">
        <f t="shared" si="4"/>
        <v>-3.6773499744315881E-2</v>
      </c>
      <c r="I30" s="2">
        <f t="shared" si="4"/>
        <v>-3.6773499744315909E-2</v>
      </c>
      <c r="J30" s="2">
        <f t="shared" si="4"/>
        <v>1.4046227017042549E-2</v>
      </c>
    </row>
    <row r="31" spans="1:10" ht="15.6" x14ac:dyDescent="0.3">
      <c r="A31" s="2">
        <f t="shared" si="3"/>
        <v>23</v>
      </c>
      <c r="B31" s="2">
        <f t="shared" si="4"/>
        <v>-1.3435521494562909E-2</v>
      </c>
      <c r="C31" s="2">
        <f t="shared" si="4"/>
        <v>-3.5174651929345567E-2</v>
      </c>
      <c r="D31" s="2">
        <f t="shared" si="4"/>
        <v>3.5174651929345588E-2</v>
      </c>
      <c r="E31" s="2">
        <f t="shared" si="4"/>
        <v>1.3435521494563025E-2</v>
      </c>
      <c r="F31" s="2">
        <f t="shared" si="4"/>
        <v>-4.3478260869565216E-2</v>
      </c>
      <c r="G31" s="2">
        <f t="shared" si="4"/>
        <v>1.3435521494563086E-2</v>
      </c>
      <c r="H31" s="2">
        <f t="shared" si="4"/>
        <v>3.5174651929345553E-2</v>
      </c>
      <c r="I31" s="2">
        <f t="shared" si="4"/>
        <v>-3.5174651929345428E-2</v>
      </c>
      <c r="J31" s="2">
        <f t="shared" si="4"/>
        <v>-1.3435521494563287E-2</v>
      </c>
    </row>
    <row r="32" spans="1:10" ht="15.6" x14ac:dyDescent="0.3">
      <c r="A32" s="2">
        <f t="shared" si="3"/>
        <v>24</v>
      </c>
      <c r="B32" s="2">
        <f t="shared" si="4"/>
        <v>-3.3709041432289463E-2</v>
      </c>
      <c r="C32" s="2">
        <f t="shared" si="4"/>
        <v>1.2875708098956095E-2</v>
      </c>
      <c r="D32" s="2">
        <f t="shared" si="4"/>
        <v>1.2875708098956213E-2</v>
      </c>
      <c r="E32" s="2">
        <f t="shared" si="4"/>
        <v>-3.3709041432289533E-2</v>
      </c>
      <c r="F32" s="2">
        <f t="shared" si="4"/>
        <v>4.1666666666666664E-2</v>
      </c>
      <c r="G32" s="2">
        <f t="shared" si="4"/>
        <v>-3.3709041432289387E-2</v>
      </c>
      <c r="H32" s="2">
        <f t="shared" si="4"/>
        <v>1.287570809895598E-2</v>
      </c>
      <c r="I32" s="2">
        <f t="shared" si="4"/>
        <v>1.2875708098956329E-2</v>
      </c>
      <c r="J32" s="2">
        <f t="shared" si="4"/>
        <v>-3.3709041432289609E-2</v>
      </c>
    </row>
    <row r="33" spans="1:10" ht="15.6" x14ac:dyDescent="0.3">
      <c r="A33" s="2">
        <f t="shared" si="3"/>
        <v>25</v>
      </c>
      <c r="B33" s="2">
        <f t="shared" si="4"/>
        <v>-0.04</v>
      </c>
      <c r="C33" s="2">
        <f t="shared" si="4"/>
        <v>0.04</v>
      </c>
      <c r="D33" s="2">
        <f t="shared" si="4"/>
        <v>-0.04</v>
      </c>
      <c r="E33" s="2">
        <f t="shared" si="4"/>
        <v>0.04</v>
      </c>
      <c r="F33" s="2">
        <f t="shared" si="4"/>
        <v>-0.04</v>
      </c>
      <c r="G33" s="2">
        <f t="shared" si="4"/>
        <v>0.04</v>
      </c>
      <c r="H33" s="2">
        <f t="shared" si="4"/>
        <v>-0.04</v>
      </c>
      <c r="I33" s="2">
        <f t="shared" si="4"/>
        <v>0.04</v>
      </c>
      <c r="J33" s="2">
        <f t="shared" si="4"/>
        <v>-0.04</v>
      </c>
    </row>
    <row r="34" spans="1:10" ht="15.6" x14ac:dyDescent="0.3">
      <c r="A34" s="2">
        <f t="shared" si="3"/>
        <v>26</v>
      </c>
      <c r="B34" s="2">
        <f t="shared" si="4"/>
        <v>-3.1116038245190301E-2</v>
      </c>
      <c r="C34" s="2">
        <f t="shared" si="4"/>
        <v>1.18852690144211E-2</v>
      </c>
      <c r="D34" s="2">
        <f t="shared" si="4"/>
        <v>1.1885269014420986E-2</v>
      </c>
      <c r="E34" s="2">
        <f t="shared" si="4"/>
        <v>-3.1116038245190228E-2</v>
      </c>
      <c r="F34" s="2">
        <f t="shared" si="4"/>
        <v>3.8461538461538464E-2</v>
      </c>
      <c r="G34" s="2">
        <f t="shared" si="4"/>
        <v>-3.1116038245190374E-2</v>
      </c>
      <c r="H34" s="2">
        <f t="shared" si="4"/>
        <v>1.1885269014421478E-2</v>
      </c>
      <c r="I34" s="2">
        <f t="shared" si="4"/>
        <v>1.1885269014420868E-2</v>
      </c>
      <c r="J34" s="2">
        <f t="shared" si="4"/>
        <v>-3.1116038245190318E-2</v>
      </c>
    </row>
    <row r="35" spans="1:10" ht="15.6" x14ac:dyDescent="0.3">
      <c r="A35" s="2">
        <f t="shared" si="3"/>
        <v>27</v>
      </c>
      <c r="B35" s="2">
        <f t="shared" si="4"/>
        <v>-1.1445073865738817E-2</v>
      </c>
      <c r="C35" s="2">
        <f t="shared" si="4"/>
        <v>-2.9963592384257283E-2</v>
      </c>
      <c r="D35" s="2">
        <f t="shared" si="4"/>
        <v>2.9963592384257276E-2</v>
      </c>
      <c r="E35" s="2">
        <f t="shared" si="4"/>
        <v>1.14450738657387E-2</v>
      </c>
      <c r="F35" s="2">
        <f t="shared" si="4"/>
        <v>-3.7037037037037035E-2</v>
      </c>
      <c r="G35" s="2">
        <f t="shared" si="4"/>
        <v>1.1445073865738684E-2</v>
      </c>
      <c r="H35" s="2">
        <f t="shared" si="4"/>
        <v>2.996359238425729E-2</v>
      </c>
      <c r="I35" s="2">
        <f t="shared" si="4"/>
        <v>-2.9963592384257429E-2</v>
      </c>
      <c r="J35" s="2">
        <f t="shared" si="4"/>
        <v>-1.144507386573896E-2</v>
      </c>
    </row>
    <row r="36" spans="1:10" ht="15.6" x14ac:dyDescent="0.3">
      <c r="A36" s="2">
        <f t="shared" si="3"/>
        <v>28</v>
      </c>
      <c r="B36" s="2">
        <f t="shared" si="4"/>
        <v>1.1036321227676671E-2</v>
      </c>
      <c r="C36" s="2">
        <f t="shared" si="4"/>
        <v>-2.8893464084819579E-2</v>
      </c>
      <c r="D36" s="2">
        <f t="shared" si="4"/>
        <v>-2.889346408481951E-2</v>
      </c>
      <c r="E36" s="2">
        <f t="shared" si="4"/>
        <v>1.1036321227676787E-2</v>
      </c>
      <c r="F36" s="2">
        <f t="shared" si="4"/>
        <v>3.5714285714285712E-2</v>
      </c>
      <c r="G36" s="2">
        <f t="shared" si="4"/>
        <v>1.1036321227676555E-2</v>
      </c>
      <c r="H36" s="2">
        <f t="shared" si="4"/>
        <v>-2.8893464084819652E-2</v>
      </c>
      <c r="I36" s="2">
        <f t="shared" si="4"/>
        <v>-2.8893464084819437E-2</v>
      </c>
      <c r="J36" s="2">
        <f t="shared" si="4"/>
        <v>1.1036321227677387E-2</v>
      </c>
    </row>
    <row r="37" spans="1:10" ht="15.6" x14ac:dyDescent="0.3">
      <c r="A37" s="2">
        <f t="shared" si="3"/>
        <v>29</v>
      </c>
      <c r="B37" s="2">
        <f t="shared" si="4"/>
        <v>2.7897137737067139E-2</v>
      </c>
      <c r="C37" s="2">
        <f t="shared" si="4"/>
        <v>1.0655758426722279E-2</v>
      </c>
      <c r="D37" s="2">
        <f t="shared" si="4"/>
        <v>-1.0655758426722511E-2</v>
      </c>
      <c r="E37" s="2">
        <f t="shared" si="4"/>
        <v>-2.7897137737067212E-2</v>
      </c>
      <c r="F37" s="2">
        <f t="shared" si="4"/>
        <v>-3.4482758620689655E-2</v>
      </c>
      <c r="G37" s="2">
        <f t="shared" si="4"/>
        <v>-2.7897137737066924E-2</v>
      </c>
      <c r="H37" s="2">
        <f t="shared" si="4"/>
        <v>-1.0655758426722044E-2</v>
      </c>
      <c r="I37" s="2">
        <f t="shared" si="4"/>
        <v>1.0655758426722511E-2</v>
      </c>
      <c r="J37" s="2">
        <f t="shared" si="4"/>
        <v>2.78971377370675E-2</v>
      </c>
    </row>
    <row r="38" spans="1:10" ht="15.6" x14ac:dyDescent="0.3">
      <c r="A38" s="2">
        <f t="shared" si="3"/>
        <v>30</v>
      </c>
      <c r="B38" s="2">
        <f t="shared" si="4"/>
        <v>3.3333333333333333E-2</v>
      </c>
      <c r="C38" s="2">
        <f t="shared" si="4"/>
        <v>3.3333333333333333E-2</v>
      </c>
      <c r="D38" s="2">
        <f t="shared" si="4"/>
        <v>3.3333333333333333E-2</v>
      </c>
      <c r="E38" s="2">
        <f t="shared" si="4"/>
        <v>3.3333333333333333E-2</v>
      </c>
      <c r="F38" s="2">
        <f t="shared" si="4"/>
        <v>3.3333333333333333E-2</v>
      </c>
      <c r="G38" s="2">
        <f t="shared" si="4"/>
        <v>3.3333333333333333E-2</v>
      </c>
      <c r="H38" s="2">
        <f t="shared" si="4"/>
        <v>3.3333333333333333E-2</v>
      </c>
      <c r="I38" s="2">
        <f t="shared" si="4"/>
        <v>3.3333333333333333E-2</v>
      </c>
      <c r="J38" s="2">
        <f t="shared" si="4"/>
        <v>3.3333333333333333E-2</v>
      </c>
    </row>
    <row r="39" spans="1:10" ht="15.6" x14ac:dyDescent="0.3">
      <c r="A39" s="2">
        <f t="shared" si="3"/>
        <v>31</v>
      </c>
      <c r="B39" s="2">
        <f t="shared" si="4"/>
        <v>2.6097322399191866E-2</v>
      </c>
      <c r="C39" s="2">
        <f t="shared" si="4"/>
        <v>9.9682901411273835E-3</v>
      </c>
      <c r="D39" s="2">
        <f t="shared" si="4"/>
        <v>-9.9682901411273749E-3</v>
      </c>
      <c r="E39" s="2">
        <f t="shared" si="4"/>
        <v>-2.6097322399191797E-2</v>
      </c>
      <c r="F39" s="2">
        <f t="shared" si="4"/>
        <v>-3.2258064516129031E-2</v>
      </c>
      <c r="G39" s="2">
        <f t="shared" si="4"/>
        <v>-2.6097322399191804E-2</v>
      </c>
      <c r="H39" s="2">
        <f t="shared" si="4"/>
        <v>-9.9682901411273905E-3</v>
      </c>
      <c r="I39" s="2">
        <f t="shared" si="4"/>
        <v>9.9682901411271493E-3</v>
      </c>
      <c r="J39" s="2">
        <f t="shared" si="4"/>
        <v>2.6097322399191655E-2</v>
      </c>
    </row>
    <row r="40" spans="1:10" ht="15.6" x14ac:dyDescent="0.3">
      <c r="A40" s="2">
        <f t="shared" si="3"/>
        <v>32</v>
      </c>
      <c r="B40" s="2">
        <f t="shared" si="4"/>
        <v>9.6567810742171304E-3</v>
      </c>
      <c r="C40" s="2">
        <f t="shared" si="4"/>
        <v>-2.5281781074217077E-2</v>
      </c>
      <c r="D40" s="2">
        <f t="shared" si="4"/>
        <v>-2.5281781074217149E-2</v>
      </c>
      <c r="E40" s="2">
        <f t="shared" si="4"/>
        <v>9.6567810742170142E-3</v>
      </c>
      <c r="F40" s="2">
        <f t="shared" si="4"/>
        <v>3.125E-2</v>
      </c>
      <c r="G40" s="2">
        <f t="shared" si="4"/>
        <v>9.6567810742172466E-3</v>
      </c>
      <c r="H40" s="2">
        <f t="shared" si="4"/>
        <v>-2.5281781074217007E-2</v>
      </c>
      <c r="I40" s="2">
        <f t="shared" si="4"/>
        <v>-2.5281781074217222E-2</v>
      </c>
      <c r="J40" s="2">
        <f t="shared" si="4"/>
        <v>9.656781074216898E-3</v>
      </c>
    </row>
    <row r="41" spans="1:10" ht="15.6" x14ac:dyDescent="0.3">
      <c r="A41" s="2">
        <f t="shared" si="3"/>
        <v>33</v>
      </c>
      <c r="B41" s="2">
        <f t="shared" si="4"/>
        <v>-9.3641513446953532E-3</v>
      </c>
      <c r="C41" s="2">
        <f t="shared" si="4"/>
        <v>-2.4515666496210557E-2</v>
      </c>
      <c r="D41" s="2">
        <f t="shared" si="4"/>
        <v>2.4515666496210422E-2</v>
      </c>
      <c r="E41" s="2">
        <f t="shared" si="4"/>
        <v>9.3641513446954695E-3</v>
      </c>
      <c r="F41" s="2">
        <f t="shared" si="4"/>
        <v>-3.0303030303030304E-2</v>
      </c>
      <c r="G41" s="2">
        <f t="shared" si="4"/>
        <v>9.3641513446950323E-3</v>
      </c>
      <c r="H41" s="2">
        <f t="shared" si="4"/>
        <v>2.4515666496210693E-2</v>
      </c>
      <c r="I41" s="2">
        <f t="shared" si="4"/>
        <v>-2.4515666496210415E-2</v>
      </c>
      <c r="J41" s="2">
        <f t="shared" si="4"/>
        <v>-9.3641513446954833E-3</v>
      </c>
    </row>
    <row r="42" spans="1:10" ht="15.6" x14ac:dyDescent="0.3">
      <c r="A42" s="2">
        <f t="shared" si="3"/>
        <v>34</v>
      </c>
      <c r="B42" s="2">
        <f t="shared" ref="B42:J48" si="5">COS(B$7*$A42)/$A42</f>
        <v>-2.3794617481616084E-2</v>
      </c>
      <c r="C42" s="2">
        <f t="shared" si="5"/>
        <v>9.0887351286748769E-3</v>
      </c>
      <c r="D42" s="2">
        <f t="shared" si="5"/>
        <v>9.0887351286751926E-3</v>
      </c>
      <c r="E42" s="2">
        <f t="shared" si="5"/>
        <v>-2.3794617481616157E-2</v>
      </c>
      <c r="F42" s="2">
        <f t="shared" si="5"/>
        <v>2.9411764705882353E-2</v>
      </c>
      <c r="G42" s="2">
        <f t="shared" si="5"/>
        <v>-2.3794617481615769E-2</v>
      </c>
      <c r="H42" s="2">
        <f t="shared" si="5"/>
        <v>9.0887351286745629E-3</v>
      </c>
      <c r="I42" s="2">
        <f t="shared" si="5"/>
        <v>9.0887351286751111E-3</v>
      </c>
      <c r="J42" s="2">
        <f t="shared" si="5"/>
        <v>-2.3794617481616109E-2</v>
      </c>
    </row>
    <row r="43" spans="1:10" ht="15.6" x14ac:dyDescent="0.3">
      <c r="A43" s="2">
        <f t="shared" si="3"/>
        <v>35</v>
      </c>
      <c r="B43" s="2">
        <f t="shared" si="5"/>
        <v>-2.8571428571428571E-2</v>
      </c>
      <c r="C43" s="2">
        <f t="shared" si="5"/>
        <v>2.8571428571428571E-2</v>
      </c>
      <c r="D43" s="2">
        <f t="shared" si="5"/>
        <v>-2.8571428571428571E-2</v>
      </c>
      <c r="E43" s="2">
        <f t="shared" si="5"/>
        <v>2.8571428571428571E-2</v>
      </c>
      <c r="F43" s="2">
        <f t="shared" si="5"/>
        <v>-2.8571428571428571E-2</v>
      </c>
      <c r="G43" s="2">
        <f t="shared" si="5"/>
        <v>2.8571428571428571E-2</v>
      </c>
      <c r="H43" s="2">
        <f t="shared" si="5"/>
        <v>-2.8571428571428571E-2</v>
      </c>
      <c r="I43" s="2">
        <f t="shared" si="5"/>
        <v>2.8571428571428571E-2</v>
      </c>
      <c r="J43" s="2">
        <f t="shared" si="5"/>
        <v>-2.8571428571428571E-2</v>
      </c>
    </row>
    <row r="44" spans="1:10" ht="15.6" x14ac:dyDescent="0.3">
      <c r="A44" s="2">
        <f t="shared" si="3"/>
        <v>36</v>
      </c>
      <c r="B44" s="2">
        <f t="shared" si="5"/>
        <v>-2.2472694288192999E-2</v>
      </c>
      <c r="C44" s="2">
        <f t="shared" si="5"/>
        <v>8.5838053993041417E-3</v>
      </c>
      <c r="D44" s="2">
        <f t="shared" si="5"/>
        <v>8.5838053993040255E-3</v>
      </c>
      <c r="E44" s="2">
        <f t="shared" si="5"/>
        <v>-2.2472694288192926E-2</v>
      </c>
      <c r="F44" s="2">
        <f t="shared" si="5"/>
        <v>2.7777777777777776E-2</v>
      </c>
      <c r="G44" s="2">
        <f t="shared" si="5"/>
        <v>-2.2472694288193071E-2</v>
      </c>
      <c r="H44" s="2">
        <f t="shared" si="5"/>
        <v>8.5838053993046344E-3</v>
      </c>
      <c r="I44" s="2">
        <f t="shared" si="5"/>
        <v>8.5838053993039093E-3</v>
      </c>
      <c r="J44" s="2">
        <f t="shared" si="5"/>
        <v>-2.2472694288193085E-2</v>
      </c>
    </row>
    <row r="45" spans="1:10" ht="15.6" x14ac:dyDescent="0.3">
      <c r="A45" s="2">
        <f t="shared" si="3"/>
        <v>37</v>
      </c>
      <c r="B45" s="2">
        <f t="shared" si="5"/>
        <v>-8.3518106587823857E-3</v>
      </c>
      <c r="C45" s="2">
        <f t="shared" si="5"/>
        <v>-2.1865324172295846E-2</v>
      </c>
      <c r="D45" s="2">
        <f t="shared" si="5"/>
        <v>2.1865324172295975E-2</v>
      </c>
      <c r="E45" s="2">
        <f t="shared" si="5"/>
        <v>8.3518106587822695E-3</v>
      </c>
      <c r="F45" s="2">
        <f t="shared" si="5"/>
        <v>-2.7027027027027029E-2</v>
      </c>
      <c r="G45" s="2">
        <f t="shared" si="5"/>
        <v>8.3518106587826841E-3</v>
      </c>
      <c r="H45" s="2">
        <f t="shared" si="5"/>
        <v>2.1865324172295947E-2</v>
      </c>
      <c r="I45" s="2">
        <f t="shared" si="5"/>
        <v>-2.1865324172295992E-2</v>
      </c>
      <c r="J45" s="2">
        <f t="shared" si="5"/>
        <v>-8.3518106587818792E-3</v>
      </c>
    </row>
    <row r="46" spans="1:10" ht="15.6" x14ac:dyDescent="0.3">
      <c r="A46" s="2">
        <f t="shared" si="3"/>
        <v>38</v>
      </c>
      <c r="B46" s="2">
        <f t="shared" si="5"/>
        <v>8.1320261677617512E-3</v>
      </c>
      <c r="C46" s="2">
        <f t="shared" si="5"/>
        <v>-2.128992090460391E-2</v>
      </c>
      <c r="D46" s="2">
        <f t="shared" si="5"/>
        <v>-2.1289920904603948E-2</v>
      </c>
      <c r="E46" s="2">
        <f t="shared" si="5"/>
        <v>8.1320261677618674E-3</v>
      </c>
      <c r="F46" s="2">
        <f t="shared" si="5"/>
        <v>2.6315789473684209E-2</v>
      </c>
      <c r="G46" s="2">
        <f t="shared" si="5"/>
        <v>8.1320261677619906E-3</v>
      </c>
      <c r="H46" s="2">
        <f t="shared" si="5"/>
        <v>-2.1289920904603871E-2</v>
      </c>
      <c r="I46" s="2">
        <f t="shared" si="5"/>
        <v>-2.1289920904603764E-2</v>
      </c>
      <c r="J46" s="2">
        <f t="shared" si="5"/>
        <v>8.1320261677621623E-3</v>
      </c>
    </row>
    <row r="47" spans="1:10" ht="15.6" x14ac:dyDescent="0.3">
      <c r="A47" s="2">
        <f t="shared" si="3"/>
        <v>39</v>
      </c>
      <c r="B47" s="2">
        <f t="shared" si="5"/>
        <v>2.0744025496793512E-2</v>
      </c>
      <c r="C47" s="2">
        <f t="shared" si="5"/>
        <v>7.9235126762806571E-3</v>
      </c>
      <c r="D47" s="2">
        <f t="shared" si="5"/>
        <v>-7.9235126762806866E-3</v>
      </c>
      <c r="E47" s="2">
        <f t="shared" si="5"/>
        <v>-2.0744025496793581E-2</v>
      </c>
      <c r="F47" s="2">
        <f t="shared" si="5"/>
        <v>-2.564102564102564E-2</v>
      </c>
      <c r="G47" s="2">
        <f t="shared" si="5"/>
        <v>-2.0744025496793543E-2</v>
      </c>
      <c r="H47" s="2">
        <f t="shared" si="5"/>
        <v>-7.9235126762806276E-3</v>
      </c>
      <c r="I47" s="2">
        <f t="shared" si="5"/>
        <v>7.9235126762808895E-3</v>
      </c>
      <c r="J47" s="2">
        <f t="shared" si="5"/>
        <v>2.0744025496793706E-2</v>
      </c>
    </row>
    <row r="48" spans="1:10" ht="16.2" thickBot="1" x14ac:dyDescent="0.35">
      <c r="A48" s="3">
        <f t="shared" si="3"/>
        <v>40</v>
      </c>
      <c r="B48" s="3">
        <f t="shared" si="5"/>
        <v>2.5000000000000001E-2</v>
      </c>
      <c r="C48" s="3">
        <f t="shared" si="5"/>
        <v>2.5000000000000001E-2</v>
      </c>
      <c r="D48" s="3">
        <f t="shared" si="5"/>
        <v>2.5000000000000001E-2</v>
      </c>
      <c r="E48" s="3">
        <f t="shared" si="5"/>
        <v>2.5000000000000001E-2</v>
      </c>
      <c r="F48" s="3">
        <f t="shared" si="5"/>
        <v>2.5000000000000001E-2</v>
      </c>
      <c r="G48" s="3">
        <f t="shared" si="5"/>
        <v>2.5000000000000001E-2</v>
      </c>
      <c r="H48" s="3">
        <f t="shared" si="5"/>
        <v>2.5000000000000001E-2</v>
      </c>
      <c r="I48" s="3">
        <f t="shared" si="5"/>
        <v>2.5000000000000001E-2</v>
      </c>
      <c r="J48" s="3">
        <f t="shared" si="5"/>
        <v>2.5000000000000001E-2</v>
      </c>
    </row>
    <row r="49" spans="1:10" ht="16.2" thickBot="1" x14ac:dyDescent="0.35">
      <c r="A49" s="11" t="s">
        <v>2</v>
      </c>
      <c r="B49" s="10">
        <f>SUM(B9:B48)</f>
        <v>0.49209014786058564</v>
      </c>
      <c r="C49" s="10">
        <f t="shared" ref="C49:J49" si="6">SUM(C9:C48)</f>
        <v>-0.14970488260430614</v>
      </c>
      <c r="D49" s="10">
        <f t="shared" si="6"/>
        <v>-0.46895036172614296</v>
      </c>
      <c r="E49" s="10">
        <f t="shared" si="6"/>
        <v>-0.63063806543531009</v>
      </c>
      <c r="F49" s="10">
        <f t="shared" si="6"/>
        <v>-0.68080338179269406</v>
      </c>
      <c r="G49" s="10">
        <f t="shared" si="6"/>
        <v>-0.63063806543530976</v>
      </c>
      <c r="H49" s="10">
        <f t="shared" si="6"/>
        <v>-0.46895036172614268</v>
      </c>
      <c r="I49" s="10">
        <f t="shared" si="6"/>
        <v>-0.14970488260430628</v>
      </c>
      <c r="J49" s="10">
        <f t="shared" si="6"/>
        <v>0.49209014786058553</v>
      </c>
    </row>
    <row r="50" spans="1:10" ht="16.2" thickBot="1" x14ac:dyDescent="0.35">
      <c r="A50" s="11" t="s">
        <v>3</v>
      </c>
      <c r="B50" s="10">
        <f>-LN(ABS(2*SIN(B7/2)))</f>
        <v>0.48121182505960353</v>
      </c>
      <c r="C50" s="10">
        <f t="shared" ref="C50:J50" si="7">-LN(ABS(2*SIN(C7/2)))</f>
        <v>-0.16175356557872339</v>
      </c>
      <c r="D50" s="10">
        <f t="shared" si="7"/>
        <v>-0.48121182505960347</v>
      </c>
      <c r="E50" s="10">
        <f t="shared" si="7"/>
        <v>-0.64296539063832681</v>
      </c>
      <c r="F50" s="10">
        <f t="shared" si="7"/>
        <v>-0.69314718055994529</v>
      </c>
      <c r="G50" s="10">
        <f t="shared" si="7"/>
        <v>-0.64296539063832692</v>
      </c>
      <c r="H50" s="10">
        <f t="shared" si="7"/>
        <v>-0.48121182505960347</v>
      </c>
      <c r="I50" s="10">
        <f t="shared" si="7"/>
        <v>-0.16175356557872358</v>
      </c>
      <c r="J50" s="10">
        <f t="shared" si="7"/>
        <v>0.48121182505960319</v>
      </c>
    </row>
  </sheetData>
  <mergeCells count="14">
    <mergeCell ref="B6:C6"/>
    <mergeCell ref="H7:H8"/>
    <mergeCell ref="I7:I8"/>
    <mergeCell ref="J7:J8"/>
    <mergeCell ref="A1:B1"/>
    <mergeCell ref="A2:J2"/>
    <mergeCell ref="B4:D5"/>
    <mergeCell ref="A7:A8"/>
    <mergeCell ref="B7:B8"/>
    <mergeCell ref="C7:C8"/>
    <mergeCell ref="D7:D8"/>
    <mergeCell ref="E7:E8"/>
    <mergeCell ref="F7:F8"/>
    <mergeCell ref="G7:G8"/>
  </mergeCells>
  <conditionalFormatting sqref="B9:M24">
    <cfRule type="cellIs" dxfId="58" priority="8" operator="greaterThan">
      <formula>1.5</formula>
    </cfRule>
    <cfRule type="cellIs" dxfId="57" priority="7" operator="lessThan">
      <formula>0</formula>
    </cfRule>
    <cfRule type="cellIs" dxfId="56" priority="6" operator="greaterThan">
      <formula>1.5</formula>
    </cfRule>
    <cfRule type="cellIs" dxfId="55" priority="5" operator="lessThan">
      <formula>0</formula>
    </cfRule>
  </conditionalFormatting>
  <conditionalFormatting sqref="B9:M50">
    <cfRule type="cellIs" dxfId="54" priority="4" operator="greaterThan">
      <formula>1.5</formula>
    </cfRule>
    <cfRule type="cellIs" dxfId="53" priority="3" operator="lessThan">
      <formula>0</formula>
    </cfRule>
    <cfRule type="cellIs" dxfId="52" priority="2" operator="greaterThan">
      <formula>1.5</formula>
    </cfRule>
    <cfRule type="cellIs" dxfId="51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18"/>
  <sheetViews>
    <sheetView zoomScale="76" workbookViewId="0">
      <selection activeCell="B11" sqref="B11"/>
    </sheetView>
  </sheetViews>
  <sheetFormatPr defaultRowHeight="14.4" x14ac:dyDescent="0.3"/>
  <sheetData>
    <row r="1" spans="1:13" ht="15.6" x14ac:dyDescent="0.3">
      <c r="A1" s="21" t="s">
        <v>6</v>
      </c>
      <c r="B1" s="2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6" x14ac:dyDescent="0.3">
      <c r="A4" s="1"/>
      <c r="B4" s="20"/>
      <c r="C4" s="20"/>
      <c r="D4" s="20"/>
      <c r="E4" s="20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1"/>
      <c r="B5" s="20"/>
      <c r="C5" s="20"/>
      <c r="D5" s="20"/>
      <c r="E5" s="20"/>
      <c r="F5" s="1"/>
      <c r="G5" s="1"/>
      <c r="H5" s="1"/>
      <c r="I5" s="1"/>
      <c r="J5" s="1"/>
      <c r="K5" s="1"/>
      <c r="L5" s="1"/>
      <c r="M5" s="1"/>
    </row>
    <row r="6" spans="1:13" ht="16.2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3" t="s">
        <v>21</v>
      </c>
      <c r="B7" s="25">
        <v>1</v>
      </c>
      <c r="C7" s="27">
        <f t="shared" ref="C7:K7" si="0">B7+1</f>
        <v>2</v>
      </c>
      <c r="D7" s="29">
        <f t="shared" si="0"/>
        <v>3</v>
      </c>
      <c r="E7" s="25">
        <f t="shared" si="0"/>
        <v>4</v>
      </c>
      <c r="F7" s="29">
        <f t="shared" si="0"/>
        <v>5</v>
      </c>
      <c r="G7" s="27">
        <f t="shared" si="0"/>
        <v>6</v>
      </c>
      <c r="H7" s="31">
        <f t="shared" si="0"/>
        <v>7</v>
      </c>
      <c r="I7" s="31">
        <f t="shared" si="0"/>
        <v>8</v>
      </c>
      <c r="J7" s="31">
        <f t="shared" si="0"/>
        <v>9</v>
      </c>
      <c r="K7" s="31">
        <f t="shared" si="0"/>
        <v>10</v>
      </c>
      <c r="L7" s="31" t="s">
        <v>2</v>
      </c>
      <c r="M7" s="27" t="s">
        <v>3</v>
      </c>
    </row>
    <row r="8" spans="1:13" ht="15" thickBot="1" x14ac:dyDescent="0.35">
      <c r="A8" s="24"/>
      <c r="B8" s="26"/>
      <c r="C8" s="28"/>
      <c r="D8" s="30"/>
      <c r="E8" s="26"/>
      <c r="F8" s="30"/>
      <c r="G8" s="28"/>
      <c r="H8" s="32"/>
      <c r="I8" s="32"/>
      <c r="J8" s="32"/>
      <c r="K8" s="32"/>
      <c r="L8" s="32"/>
      <c r="M8" s="28"/>
    </row>
    <row r="9" spans="1:13" ht="15.6" x14ac:dyDescent="0.3">
      <c r="A9" s="2">
        <v>0.1</v>
      </c>
      <c r="B9" s="2">
        <f>LN(2)^(B$7-1)/FACT(B$7-1)*$A9^(B$7-1)</f>
        <v>1</v>
      </c>
      <c r="C9" s="2">
        <f t="shared" ref="C9:K18" si="1">LN(2)^(C$7-1)/FACT(C$7-1)*$A9^(C$7-1)</f>
        <v>6.9314718055994526E-2</v>
      </c>
      <c r="D9" s="2">
        <f t="shared" si="1"/>
        <v>2.4022650695910072E-3</v>
      </c>
      <c r="E9" s="2">
        <f t="shared" si="1"/>
        <v>5.5504108664821589E-5</v>
      </c>
      <c r="F9" s="2">
        <f t="shared" si="1"/>
        <v>9.6181291076284791E-7</v>
      </c>
      <c r="G9" s="2">
        <f t="shared" si="1"/>
        <v>1.3333558146428449E-8</v>
      </c>
      <c r="H9" s="2">
        <f t="shared" si="1"/>
        <v>1.5403530393381616E-10</v>
      </c>
      <c r="I9" s="2">
        <f t="shared" si="1"/>
        <v>1.5252733804059845E-12</v>
      </c>
      <c r="J9" s="2">
        <f t="shared" si="1"/>
        <v>1.3215486790144314E-14</v>
      </c>
      <c r="K9" s="2">
        <f t="shared" si="1"/>
        <v>1.0178086009239704E-16</v>
      </c>
      <c r="L9" s="8">
        <f>SUM(B9,C9,E9,F9,H9,I9,K9)-SUM(D9,G9,J9)</f>
        <v>1.0669689057299683</v>
      </c>
      <c r="M9" s="6">
        <f>2^A9</f>
        <v>1.0717734625362931</v>
      </c>
    </row>
    <row r="10" spans="1:13" ht="15.6" x14ac:dyDescent="0.3">
      <c r="A10" s="2">
        <f>A9+0.1</f>
        <v>0.2</v>
      </c>
      <c r="B10" s="2">
        <f t="shared" ref="B10:B18" si="2">LN(2)^(B$7-1)/FACT(B$7-1)*$A10^(B$7-1)</f>
        <v>1</v>
      </c>
      <c r="C10" s="2">
        <f t="shared" si="1"/>
        <v>0.13862943611198905</v>
      </c>
      <c r="D10" s="2">
        <f t="shared" si="1"/>
        <v>9.6090602783640289E-3</v>
      </c>
      <c r="E10" s="2">
        <f t="shared" si="1"/>
        <v>4.4403286931857271E-4</v>
      </c>
      <c r="F10" s="2">
        <f t="shared" si="1"/>
        <v>1.5389006572205567E-5</v>
      </c>
      <c r="G10" s="2">
        <f t="shared" si="1"/>
        <v>4.2667386068571036E-7</v>
      </c>
      <c r="H10" s="2">
        <f t="shared" si="1"/>
        <v>9.8582594517642345E-9</v>
      </c>
      <c r="I10" s="2">
        <f t="shared" si="1"/>
        <v>1.9523499269196602E-10</v>
      </c>
      <c r="J10" s="2">
        <f t="shared" si="1"/>
        <v>3.3831646182769443E-12</v>
      </c>
      <c r="K10" s="2">
        <f t="shared" si="1"/>
        <v>5.2111800367307284E-14</v>
      </c>
      <c r="L10" s="8">
        <f t="shared" ref="L10:L18" si="3">SUM(B10,C10,E10,F10,H10,I10,K10)-SUM(D10,G10,J10)</f>
        <v>1.1294793810858186</v>
      </c>
      <c r="M10" s="6">
        <f t="shared" ref="M10:M18" si="4">2^A10</f>
        <v>1.1486983549970351</v>
      </c>
    </row>
    <row r="11" spans="1:13" ht="15.6" x14ac:dyDescent="0.3">
      <c r="A11" s="2">
        <f t="shared" ref="A11:A18" si="5">A10+0.1</f>
        <v>0.30000000000000004</v>
      </c>
      <c r="B11" s="2">
        <f t="shared" si="2"/>
        <v>1</v>
      </c>
      <c r="C11" s="2">
        <f t="shared" si="1"/>
        <v>0.20794415416798362</v>
      </c>
      <c r="D11" s="2">
        <f t="shared" si="1"/>
        <v>2.1620385626319068E-2</v>
      </c>
      <c r="E11" s="2">
        <f t="shared" si="1"/>
        <v>1.4986109339501831E-3</v>
      </c>
      <c r="F11" s="2">
        <f t="shared" si="1"/>
        <v>7.7906845771790693E-5</v>
      </c>
      <c r="G11" s="2">
        <f t="shared" si="1"/>
        <v>3.2400546295821134E-6</v>
      </c>
      <c r="H11" s="2">
        <f t="shared" si="1"/>
        <v>1.12291736567752E-7</v>
      </c>
      <c r="I11" s="2">
        <f t="shared" si="1"/>
        <v>3.3357728829478893E-9</v>
      </c>
      <c r="J11" s="2">
        <f t="shared" si="1"/>
        <v>8.6706808830136862E-11</v>
      </c>
      <c r="K11" s="2">
        <f t="shared" si="1"/>
        <v>2.0033526691986514E-12</v>
      </c>
      <c r="L11" s="8">
        <f t="shared" si="3"/>
        <v>1.1878971618095628</v>
      </c>
      <c r="M11" s="6">
        <f t="shared" si="4"/>
        <v>1.2311444133449163</v>
      </c>
    </row>
    <row r="12" spans="1:13" ht="15.6" x14ac:dyDescent="0.3">
      <c r="A12" s="2">
        <f t="shared" si="5"/>
        <v>0.4</v>
      </c>
      <c r="B12" s="2">
        <f t="shared" si="2"/>
        <v>1</v>
      </c>
      <c r="C12" s="2">
        <f t="shared" si="1"/>
        <v>0.2772588722239781</v>
      </c>
      <c r="D12" s="2">
        <f t="shared" si="1"/>
        <v>3.8436241113456115E-2</v>
      </c>
      <c r="E12" s="2">
        <f t="shared" si="1"/>
        <v>3.5522629545485817E-3</v>
      </c>
      <c r="F12" s="2">
        <f t="shared" si="1"/>
        <v>2.4622410515528906E-4</v>
      </c>
      <c r="G12" s="2">
        <f t="shared" si="1"/>
        <v>1.3653563541942731E-5</v>
      </c>
      <c r="H12" s="2">
        <f t="shared" si="1"/>
        <v>6.30928604912911E-7</v>
      </c>
      <c r="I12" s="2">
        <f t="shared" si="1"/>
        <v>2.499007906457165E-8</v>
      </c>
      <c r="J12" s="2">
        <f t="shared" si="1"/>
        <v>8.6609014227889774E-10</v>
      </c>
      <c r="K12" s="2">
        <f t="shared" si="1"/>
        <v>2.6681241788061329E-11</v>
      </c>
      <c r="L12" s="8">
        <f t="shared" si="3"/>
        <v>1.2426081196859591</v>
      </c>
      <c r="M12" s="6">
        <f t="shared" si="4"/>
        <v>1.3195079107728942</v>
      </c>
    </row>
    <row r="13" spans="1:13" ht="15.6" x14ac:dyDescent="0.3">
      <c r="A13" s="2">
        <f t="shared" si="5"/>
        <v>0.5</v>
      </c>
      <c r="B13" s="2">
        <f t="shared" si="2"/>
        <v>1</v>
      </c>
      <c r="C13" s="2">
        <f t="shared" si="1"/>
        <v>0.34657359027997264</v>
      </c>
      <c r="D13" s="2">
        <f t="shared" si="1"/>
        <v>6.0056626739775174E-2</v>
      </c>
      <c r="E13" s="2">
        <f t="shared" si="1"/>
        <v>6.938013583102697E-3</v>
      </c>
      <c r="F13" s="2">
        <f t="shared" si="1"/>
        <v>6.011330692267797E-4</v>
      </c>
      <c r="G13" s="2">
        <f t="shared" si="1"/>
        <v>4.1667369207588878E-5</v>
      </c>
      <c r="H13" s="2">
        <f t="shared" si="1"/>
        <v>2.4068016239658759E-6</v>
      </c>
      <c r="I13" s="2">
        <f t="shared" si="1"/>
        <v>1.1916198284421746E-7</v>
      </c>
      <c r="J13" s="2">
        <f t="shared" si="1"/>
        <v>5.1622995274001184E-9</v>
      </c>
      <c r="K13" s="2">
        <f t="shared" si="1"/>
        <v>1.9879074236796279E-10</v>
      </c>
      <c r="L13" s="8">
        <f t="shared" si="3"/>
        <v>1.2940169638234178</v>
      </c>
      <c r="M13" s="6">
        <f t="shared" si="4"/>
        <v>1.4142135623730951</v>
      </c>
    </row>
    <row r="14" spans="1:13" ht="15.6" x14ac:dyDescent="0.3">
      <c r="A14" s="2">
        <f t="shared" si="5"/>
        <v>0.6</v>
      </c>
      <c r="B14" s="2">
        <f t="shared" si="2"/>
        <v>1</v>
      </c>
      <c r="C14" s="2">
        <f t="shared" si="1"/>
        <v>0.41588830833596718</v>
      </c>
      <c r="D14" s="2">
        <f t="shared" si="1"/>
        <v>8.6481542505276246E-2</v>
      </c>
      <c r="E14" s="2">
        <f t="shared" si="1"/>
        <v>1.1988887471601461E-2</v>
      </c>
      <c r="F14" s="2">
        <f t="shared" si="1"/>
        <v>1.2465095323486502E-3</v>
      </c>
      <c r="G14" s="2">
        <f t="shared" si="1"/>
        <v>1.0368174814662755E-4</v>
      </c>
      <c r="H14" s="2">
        <f t="shared" si="1"/>
        <v>7.1866711403361214E-6</v>
      </c>
      <c r="I14" s="2">
        <f t="shared" si="1"/>
        <v>4.2697892901732935E-7</v>
      </c>
      <c r="J14" s="2">
        <f t="shared" si="1"/>
        <v>2.219694306051501E-8</v>
      </c>
      <c r="K14" s="2">
        <f t="shared" si="1"/>
        <v>1.0257165666297083E-9</v>
      </c>
      <c r="L14" s="8">
        <f t="shared" si="3"/>
        <v>1.3425460735653374</v>
      </c>
      <c r="M14" s="6">
        <f t="shared" si="4"/>
        <v>1.515716566510398</v>
      </c>
    </row>
    <row r="15" spans="1:13" ht="15.6" x14ac:dyDescent="0.3">
      <c r="A15" s="2">
        <f t="shared" si="5"/>
        <v>0.7</v>
      </c>
      <c r="B15" s="2">
        <f t="shared" si="2"/>
        <v>1</v>
      </c>
      <c r="C15" s="2">
        <f t="shared" si="1"/>
        <v>0.48520302639196167</v>
      </c>
      <c r="D15" s="2">
        <f t="shared" si="1"/>
        <v>0.11771098840995932</v>
      </c>
      <c r="E15" s="2">
        <f t="shared" si="1"/>
        <v>1.9037909272033797E-2</v>
      </c>
      <c r="F15" s="2">
        <f t="shared" si="1"/>
        <v>2.3093127987415963E-3</v>
      </c>
      <c r="G15" s="2">
        <f t="shared" si="1"/>
        <v>2.2409711176702273E-4</v>
      </c>
      <c r="H15" s="2">
        <f t="shared" si="1"/>
        <v>1.8122099472509518E-5</v>
      </c>
      <c r="I15" s="2">
        <f t="shared" si="1"/>
        <v>1.256128215519684E-6</v>
      </c>
      <c r="J15" s="2">
        <f t="shared" si="1"/>
        <v>7.6184651463310619E-8</v>
      </c>
      <c r="K15" s="2">
        <f t="shared" si="1"/>
        <v>4.1072248282905676E-9</v>
      </c>
      <c r="L15" s="8">
        <f t="shared" si="3"/>
        <v>1.3886344690912724</v>
      </c>
      <c r="M15" s="6">
        <f t="shared" si="4"/>
        <v>1.6245047927124709</v>
      </c>
    </row>
    <row r="16" spans="1:13" ht="15.6" x14ac:dyDescent="0.3">
      <c r="A16" s="2">
        <f t="shared" si="5"/>
        <v>0.79999999999999993</v>
      </c>
      <c r="B16" s="2">
        <f t="shared" si="2"/>
        <v>1</v>
      </c>
      <c r="C16" s="2">
        <f t="shared" si="1"/>
        <v>0.55451774444795621</v>
      </c>
      <c r="D16" s="2">
        <f t="shared" si="1"/>
        <v>0.15374496445382443</v>
      </c>
      <c r="E16" s="2">
        <f t="shared" si="1"/>
        <v>2.841810363638864E-2</v>
      </c>
      <c r="F16" s="2">
        <f t="shared" si="1"/>
        <v>3.9395856824846224E-3</v>
      </c>
      <c r="G16" s="2">
        <f t="shared" si="1"/>
        <v>4.3691403334216697E-4</v>
      </c>
      <c r="H16" s="2">
        <f t="shared" si="1"/>
        <v>4.0379430714426257E-5</v>
      </c>
      <c r="I16" s="2">
        <f t="shared" si="1"/>
        <v>3.198730120265167E-6</v>
      </c>
      <c r="J16" s="2">
        <f t="shared" si="1"/>
        <v>2.217190764233975E-7</v>
      </c>
      <c r="K16" s="2">
        <f t="shared" si="1"/>
        <v>1.3660795795487378E-8</v>
      </c>
      <c r="L16" s="8">
        <f t="shared" si="3"/>
        <v>1.4327369253822171</v>
      </c>
      <c r="M16" s="6">
        <f t="shared" si="4"/>
        <v>1.7411011265922482</v>
      </c>
    </row>
    <row r="17" spans="1:13" ht="15.6" x14ac:dyDescent="0.3">
      <c r="A17" s="2">
        <f t="shared" si="5"/>
        <v>0.89999999999999991</v>
      </c>
      <c r="B17" s="2">
        <f t="shared" si="2"/>
        <v>1</v>
      </c>
      <c r="C17" s="2">
        <f t="shared" si="1"/>
        <v>0.62383246250395075</v>
      </c>
      <c r="D17" s="2">
        <f t="shared" si="1"/>
        <v>0.19458347063687151</v>
      </c>
      <c r="E17" s="2">
        <f t="shared" si="1"/>
        <v>4.0462495216654917E-2</v>
      </c>
      <c r="F17" s="2">
        <f t="shared" si="1"/>
        <v>6.3104545075150396E-3</v>
      </c>
      <c r="G17" s="2">
        <f t="shared" si="1"/>
        <v>7.8733327498845256E-4</v>
      </c>
      <c r="H17" s="2">
        <f t="shared" si="1"/>
        <v>8.186067595789108E-5</v>
      </c>
      <c r="I17" s="2">
        <f t="shared" si="1"/>
        <v>7.2953352950070203E-6</v>
      </c>
      <c r="J17" s="2">
        <f t="shared" si="1"/>
        <v>5.6888337273452685E-7</v>
      </c>
      <c r="K17" s="2">
        <f t="shared" si="1"/>
        <v>3.943199058783697E-8</v>
      </c>
      <c r="L17" s="8">
        <f t="shared" si="3"/>
        <v>1.4753232348761316</v>
      </c>
      <c r="M17" s="6">
        <f t="shared" si="4"/>
        <v>1.8660659830736148</v>
      </c>
    </row>
    <row r="18" spans="1:13" ht="16.2" thickBot="1" x14ac:dyDescent="0.35">
      <c r="A18" s="3">
        <f t="shared" si="5"/>
        <v>0.99999999999999989</v>
      </c>
      <c r="B18" s="3">
        <f t="shared" si="2"/>
        <v>1</v>
      </c>
      <c r="C18" s="3">
        <f t="shared" si="1"/>
        <v>0.69314718055994518</v>
      </c>
      <c r="D18" s="3">
        <f t="shared" si="1"/>
        <v>0.24022650695910064</v>
      </c>
      <c r="E18" s="3">
        <f t="shared" si="1"/>
        <v>5.5504108664821555E-2</v>
      </c>
      <c r="F18" s="3">
        <f t="shared" si="1"/>
        <v>9.6181291076284717E-3</v>
      </c>
      <c r="G18" s="3">
        <f t="shared" si="1"/>
        <v>1.3333558146428435E-3</v>
      </c>
      <c r="H18" s="3">
        <f t="shared" si="1"/>
        <v>1.5403530393381595E-4</v>
      </c>
      <c r="I18" s="3">
        <f t="shared" si="1"/>
        <v>1.5252733804059822E-5</v>
      </c>
      <c r="J18" s="3">
        <f t="shared" si="1"/>
        <v>1.321548679014429E-6</v>
      </c>
      <c r="K18" s="3">
        <f t="shared" si="1"/>
        <v>1.0178086009239684E-7</v>
      </c>
      <c r="L18" s="16">
        <f t="shared" si="3"/>
        <v>1.5168776238285706</v>
      </c>
      <c r="M18" s="7">
        <f t="shared" si="4"/>
        <v>1.9999999999999998</v>
      </c>
    </row>
  </sheetData>
  <mergeCells count="16">
    <mergeCell ref="B4:E5"/>
    <mergeCell ref="M7:M8"/>
    <mergeCell ref="A1:B1"/>
    <mergeCell ref="A2:M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conditionalFormatting sqref="B9:M18">
    <cfRule type="cellIs" dxfId="50" priority="2" operator="greaterThan">
      <formula>1.5</formula>
    </cfRule>
    <cfRule type="cellIs" dxfId="49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J50"/>
  <sheetViews>
    <sheetView zoomScale="75" workbookViewId="0">
      <selection activeCell="J50" sqref="J50"/>
    </sheetView>
  </sheetViews>
  <sheetFormatPr defaultRowHeight="14.4" x14ac:dyDescent="0.3"/>
  <cols>
    <col min="10" max="10" width="13.33203125" customWidth="1"/>
  </cols>
  <sheetData>
    <row r="1" spans="1:10" ht="15.6" x14ac:dyDescent="0.3">
      <c r="A1" s="21" t="s">
        <v>7</v>
      </c>
      <c r="B1" s="21"/>
      <c r="C1" s="1"/>
      <c r="D1" s="1"/>
      <c r="E1" s="1"/>
      <c r="F1" s="1"/>
      <c r="G1" s="1"/>
      <c r="H1" s="1"/>
      <c r="I1" s="1"/>
      <c r="J1" s="1"/>
    </row>
    <row r="2" spans="1:10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.6" x14ac:dyDescent="0.3">
      <c r="A3" s="1"/>
      <c r="B3" s="20"/>
      <c r="C3" s="20"/>
      <c r="D3" s="20"/>
      <c r="E3" s="20"/>
      <c r="F3" s="1"/>
      <c r="G3" s="1"/>
      <c r="H3" s="1"/>
      <c r="I3" s="1"/>
      <c r="J3" s="1"/>
    </row>
    <row r="4" spans="1:10" ht="15.6" x14ac:dyDescent="0.3">
      <c r="A4" s="1"/>
      <c r="B4" s="20"/>
      <c r="C4" s="20"/>
      <c r="D4" s="20"/>
      <c r="E4" s="20"/>
      <c r="F4" s="1"/>
      <c r="G4" s="1"/>
      <c r="H4" s="1"/>
      <c r="I4" s="1"/>
      <c r="J4" s="1"/>
    </row>
    <row r="5" spans="1:10" ht="15.6" x14ac:dyDescent="0.3">
      <c r="A5" s="1"/>
      <c r="B5" s="20"/>
      <c r="C5" s="20"/>
      <c r="D5" s="20"/>
      <c r="E5" s="1"/>
      <c r="F5" s="1"/>
      <c r="G5" s="1"/>
      <c r="H5" s="1"/>
      <c r="I5" s="1"/>
      <c r="J5" s="1"/>
    </row>
    <row r="6" spans="1:10" ht="16.2" thickBot="1" x14ac:dyDescent="0.35">
      <c r="A6" s="1"/>
      <c r="B6" s="33"/>
      <c r="C6" s="33"/>
      <c r="D6" s="33"/>
      <c r="E6" s="1"/>
      <c r="F6" s="1"/>
      <c r="G6" s="1"/>
      <c r="H6" s="1"/>
      <c r="I6" s="1"/>
      <c r="J6" s="1"/>
    </row>
    <row r="7" spans="1:10" ht="14.4" customHeight="1" x14ac:dyDescent="0.3">
      <c r="A7" s="23" t="s">
        <v>19</v>
      </c>
      <c r="B7" s="25">
        <v>-0.2</v>
      </c>
      <c r="C7" s="27">
        <f>B7-0.1</f>
        <v>-0.30000000000000004</v>
      </c>
      <c r="D7" s="27">
        <f t="shared" ref="D7:I7" si="0">C7-0.1</f>
        <v>-0.4</v>
      </c>
      <c r="E7" s="27">
        <f t="shared" si="0"/>
        <v>-0.5</v>
      </c>
      <c r="F7" s="27">
        <f t="shared" si="0"/>
        <v>-0.6</v>
      </c>
      <c r="G7" s="27">
        <f t="shared" si="0"/>
        <v>-0.7</v>
      </c>
      <c r="H7" s="27">
        <f t="shared" si="0"/>
        <v>-0.79999999999999993</v>
      </c>
      <c r="I7" s="27">
        <f t="shared" si="0"/>
        <v>-0.89999999999999991</v>
      </c>
      <c r="J7" s="27">
        <f>I7-0.1</f>
        <v>-0.99999999999999989</v>
      </c>
    </row>
    <row r="8" spans="1:10" ht="15" customHeight="1" thickBot="1" x14ac:dyDescent="0.35">
      <c r="A8" s="24"/>
      <c r="B8" s="26"/>
      <c r="C8" s="28"/>
      <c r="D8" s="28"/>
      <c r="E8" s="28"/>
      <c r="F8" s="28"/>
      <c r="G8" s="28"/>
      <c r="H8" s="28"/>
      <c r="I8" s="28"/>
      <c r="J8" s="28"/>
    </row>
    <row r="9" spans="1:10" ht="15.6" x14ac:dyDescent="0.3">
      <c r="A9" s="2">
        <v>1</v>
      </c>
      <c r="B9" s="2">
        <f>(-1)^$A9*((1+B$7)^($A9*2))/$A9</f>
        <v>-0.64000000000000012</v>
      </c>
      <c r="C9" s="2">
        <f t="shared" ref="C9:J21" si="1">(-1)^$A9*((1+C$7)^($A9*2))/$A9</f>
        <v>-0.48999999999999994</v>
      </c>
      <c r="D9" s="2">
        <f t="shared" si="1"/>
        <v>-0.36</v>
      </c>
      <c r="E9" s="2">
        <f t="shared" si="1"/>
        <v>-0.25</v>
      </c>
      <c r="F9" s="2">
        <f t="shared" si="1"/>
        <v>-0.16000000000000003</v>
      </c>
      <c r="G9" s="2">
        <f t="shared" si="1"/>
        <v>-9.0000000000000024E-2</v>
      </c>
      <c r="H9" s="2">
        <f t="shared" si="1"/>
        <v>-4.0000000000000029E-2</v>
      </c>
      <c r="I9" s="2">
        <f t="shared" si="1"/>
        <v>-1.0000000000000018E-2</v>
      </c>
      <c r="J9" s="2">
        <f t="shared" si="1"/>
        <v>-1.2325951644078309E-32</v>
      </c>
    </row>
    <row r="10" spans="1:10" ht="15.6" x14ac:dyDescent="0.3">
      <c r="A10" s="2">
        <f>A9+1</f>
        <v>2</v>
      </c>
      <c r="B10" s="2">
        <f t="shared" ref="B10:B21" si="2">(-1)^$A10*((1+B$7)^($A10*2))/$A10</f>
        <v>0.20480000000000009</v>
      </c>
      <c r="C10" s="2">
        <f t="shared" si="1"/>
        <v>0.12004999999999996</v>
      </c>
      <c r="D10" s="2">
        <f t="shared" si="1"/>
        <v>6.4799999999999996E-2</v>
      </c>
      <c r="E10" s="2">
        <f t="shared" si="1"/>
        <v>3.125E-2</v>
      </c>
      <c r="F10" s="2">
        <f t="shared" si="1"/>
        <v>1.2800000000000006E-2</v>
      </c>
      <c r="G10" s="2">
        <f t="shared" si="1"/>
        <v>4.0500000000000024E-3</v>
      </c>
      <c r="H10" s="2">
        <f t="shared" si="1"/>
        <v>8.0000000000000112E-4</v>
      </c>
      <c r="I10" s="2">
        <f t="shared" si="1"/>
        <v>5.0000000000000179E-5</v>
      </c>
      <c r="J10" s="2">
        <f t="shared" si="1"/>
        <v>7.596454196607839E-65</v>
      </c>
    </row>
    <row r="11" spans="1:10" ht="15.6" x14ac:dyDescent="0.3">
      <c r="A11" s="2">
        <f t="shared" ref="A11:A48" si="3">A10+1</f>
        <v>3</v>
      </c>
      <c r="B11" s="2">
        <f t="shared" si="2"/>
        <v>-8.738133333333338E-2</v>
      </c>
      <c r="C11" s="2">
        <f t="shared" si="1"/>
        <v>-3.9216333333333318E-2</v>
      </c>
      <c r="D11" s="2">
        <f t="shared" si="1"/>
        <v>-1.5551999999999998E-2</v>
      </c>
      <c r="E11" s="2">
        <f t="shared" si="1"/>
        <v>-5.208333333333333E-3</v>
      </c>
      <c r="F11" s="2">
        <f t="shared" si="1"/>
        <v>-1.3653333333333341E-3</v>
      </c>
      <c r="G11" s="2">
        <f t="shared" si="1"/>
        <v>-2.4300000000000019E-4</v>
      </c>
      <c r="H11" s="2">
        <f t="shared" si="1"/>
        <v>-2.1333333333333379E-5</v>
      </c>
      <c r="I11" s="2">
        <f t="shared" si="1"/>
        <v>-3.333333333333351E-7</v>
      </c>
      <c r="J11" s="2">
        <f t="shared" si="1"/>
        <v>-6.2422351395895974E-97</v>
      </c>
    </row>
    <row r="12" spans="1:10" ht="15.6" x14ac:dyDescent="0.3">
      <c r="A12" s="2">
        <f t="shared" si="3"/>
        <v>4</v>
      </c>
      <c r="B12" s="2">
        <f t="shared" si="2"/>
        <v>4.1943040000000036E-2</v>
      </c>
      <c r="C12" s="2">
        <f t="shared" si="1"/>
        <v>1.4412002499999991E-2</v>
      </c>
      <c r="D12" s="2">
        <f t="shared" si="1"/>
        <v>4.1990399999999994E-3</v>
      </c>
      <c r="E12" s="2">
        <f t="shared" si="1"/>
        <v>9.765625E-4</v>
      </c>
      <c r="F12" s="2">
        <f t="shared" si="1"/>
        <v>1.6384000000000014E-4</v>
      </c>
      <c r="G12" s="2">
        <f t="shared" si="1"/>
        <v>1.6402500000000018E-5</v>
      </c>
      <c r="H12" s="2">
        <f t="shared" si="1"/>
        <v>6.4000000000000181E-7</v>
      </c>
      <c r="I12" s="2">
        <f t="shared" si="1"/>
        <v>2.5000000000000178E-9</v>
      </c>
      <c r="J12" s="2">
        <f t="shared" si="1"/>
        <v>5.7706116361160849E-129</v>
      </c>
    </row>
    <row r="13" spans="1:10" ht="15.6" x14ac:dyDescent="0.3">
      <c r="A13" s="2">
        <f t="shared" si="3"/>
        <v>5</v>
      </c>
      <c r="B13" s="2">
        <f t="shared" si="2"/>
        <v>-2.1474836480000023E-2</v>
      </c>
      <c r="C13" s="2">
        <f t="shared" si="1"/>
        <v>-5.6495049799999957E-3</v>
      </c>
      <c r="D13" s="2">
        <f t="shared" si="1"/>
        <v>-1.2093235199999999E-3</v>
      </c>
      <c r="E13" s="2">
        <f t="shared" si="1"/>
        <v>-1.9531250000000001E-4</v>
      </c>
      <c r="F13" s="2">
        <f t="shared" si="1"/>
        <v>-2.0971520000000022E-5</v>
      </c>
      <c r="G13" s="2">
        <f t="shared" si="1"/>
        <v>-1.1809800000000016E-6</v>
      </c>
      <c r="H13" s="2">
        <f t="shared" si="1"/>
        <v>-2.0480000000000072E-8</v>
      </c>
      <c r="I13" s="2">
        <f t="shared" si="1"/>
        <v>-2.000000000000018E-11</v>
      </c>
      <c r="J13" s="2">
        <f t="shared" si="1"/>
        <v>-5.6902623986817987E-161</v>
      </c>
    </row>
    <row r="14" spans="1:10" ht="15.6" x14ac:dyDescent="0.3">
      <c r="A14" s="2">
        <f t="shared" si="3"/>
        <v>6</v>
      </c>
      <c r="B14" s="2">
        <f t="shared" si="2"/>
        <v>1.1453246122666683E-2</v>
      </c>
      <c r="C14" s="2">
        <f t="shared" si="1"/>
        <v>2.3068812001666643E-3</v>
      </c>
      <c r="D14" s="2">
        <f t="shared" si="1"/>
        <v>3.6279705599999993E-4</v>
      </c>
      <c r="E14" s="2">
        <f t="shared" si="1"/>
        <v>4.0690104166666664E-5</v>
      </c>
      <c r="F14" s="2">
        <f t="shared" si="1"/>
        <v>2.7962026666666706E-6</v>
      </c>
      <c r="G14" s="2">
        <f t="shared" si="1"/>
        <v>8.8573500000000155E-8</v>
      </c>
      <c r="H14" s="2">
        <f t="shared" si="1"/>
        <v>6.8266666666666958E-10</v>
      </c>
      <c r="I14" s="2">
        <f t="shared" si="1"/>
        <v>1.6666666666666844E-13</v>
      </c>
      <c r="J14" s="2">
        <f t="shared" si="1"/>
        <v>5.8448249306890744E-193</v>
      </c>
    </row>
    <row r="15" spans="1:10" ht="15.6" x14ac:dyDescent="0.3">
      <c r="A15" s="2">
        <f t="shared" si="3"/>
        <v>7</v>
      </c>
      <c r="B15" s="2">
        <f t="shared" si="2"/>
        <v>-6.2829235872914379E-3</v>
      </c>
      <c r="C15" s="2">
        <f t="shared" si="1"/>
        <v>-9.6889010406999896E-4</v>
      </c>
      <c r="D15" s="2">
        <f t="shared" si="1"/>
        <v>-1.1194880585142853E-4</v>
      </c>
      <c r="E15" s="2">
        <f t="shared" si="1"/>
        <v>-8.7193080357142852E-6</v>
      </c>
      <c r="F15" s="2">
        <f t="shared" si="1"/>
        <v>-3.8347922285714342E-7</v>
      </c>
      <c r="G15" s="2">
        <f t="shared" si="1"/>
        <v>-6.8328128571428706E-9</v>
      </c>
      <c r="H15" s="2">
        <f t="shared" si="1"/>
        <v>-2.3405714285714401E-11</v>
      </c>
      <c r="I15" s="2">
        <f t="shared" si="1"/>
        <v>-1.4285714285714461E-15</v>
      </c>
      <c r="J15" s="2">
        <f t="shared" si="1"/>
        <v>-6.1751168111808761E-225</v>
      </c>
    </row>
    <row r="16" spans="1:10" ht="15.6" x14ac:dyDescent="0.3">
      <c r="A16" s="2">
        <f t="shared" si="3"/>
        <v>8</v>
      </c>
      <c r="B16" s="2">
        <f t="shared" si="2"/>
        <v>3.518437208883206E-3</v>
      </c>
      <c r="C16" s="2">
        <f t="shared" si="1"/>
        <v>4.1541163212001201E-4</v>
      </c>
      <c r="D16" s="2">
        <f t="shared" si="1"/>
        <v>3.5263873843199987E-5</v>
      </c>
      <c r="E16" s="2">
        <f t="shared" si="1"/>
        <v>1.9073486328125E-6</v>
      </c>
      <c r="F16" s="2">
        <f t="shared" si="1"/>
        <v>5.3687091200000092E-8</v>
      </c>
      <c r="G16" s="2">
        <f t="shared" si="1"/>
        <v>5.3808401250000114E-10</v>
      </c>
      <c r="H16" s="2">
        <f t="shared" si="1"/>
        <v>8.1920000000000463E-13</v>
      </c>
      <c r="I16" s="2">
        <f t="shared" si="1"/>
        <v>1.2500000000000178E-17</v>
      </c>
      <c r="J16" s="2">
        <f t="shared" si="1"/>
        <v>6.6599917309756716E-257</v>
      </c>
    </row>
    <row r="17" spans="1:10" ht="15.6" x14ac:dyDescent="0.3">
      <c r="A17" s="2">
        <f t="shared" si="3"/>
        <v>9</v>
      </c>
      <c r="B17" s="2">
        <f t="shared" si="2"/>
        <v>-2.0015998343868909E-3</v>
      </c>
      <c r="C17" s="2">
        <f t="shared" si="1"/>
        <v>-1.8093484421227187E-4</v>
      </c>
      <c r="D17" s="2">
        <f t="shared" si="1"/>
        <v>-1.1284439629823996E-5</v>
      </c>
      <c r="E17" s="2">
        <f t="shared" si="1"/>
        <v>-4.2385525173611109E-7</v>
      </c>
      <c r="F17" s="2">
        <f t="shared" si="1"/>
        <v>-7.6354974151111256E-9</v>
      </c>
      <c r="G17" s="2">
        <f t="shared" si="1"/>
        <v>-4.3046721000000107E-11</v>
      </c>
      <c r="H17" s="2">
        <f t="shared" si="1"/>
        <v>-2.9127111111111299E-14</v>
      </c>
      <c r="I17" s="2">
        <f t="shared" si="1"/>
        <v>-1.1111111111111289E-19</v>
      </c>
      <c r="J17" s="2">
        <f t="shared" si="1"/>
        <v>-7.2969543134193351E-289</v>
      </c>
    </row>
    <row r="18" spans="1:10" ht="15.6" x14ac:dyDescent="0.3">
      <c r="A18" s="2">
        <f t="shared" si="3"/>
        <v>10</v>
      </c>
      <c r="B18" s="2">
        <f t="shared" si="2"/>
        <v>1.1529215046068495E-3</v>
      </c>
      <c r="C18" s="2">
        <f t="shared" si="1"/>
        <v>7.9792266297611889E-5</v>
      </c>
      <c r="D18" s="2">
        <f t="shared" si="1"/>
        <v>3.6561584400629746E-6</v>
      </c>
      <c r="E18" s="2">
        <f t="shared" si="1"/>
        <v>9.5367431640625005E-8</v>
      </c>
      <c r="F18" s="2">
        <f t="shared" si="1"/>
        <v>1.0995116277760024E-9</v>
      </c>
      <c r="G18" s="2">
        <f t="shared" si="1"/>
        <v>3.4867844010000096E-12</v>
      </c>
      <c r="H18" s="2">
        <f t="shared" si="1"/>
        <v>1.0485760000000074E-15</v>
      </c>
      <c r="I18" s="2">
        <f t="shared" si="1"/>
        <v>1.0000000000000178E-21</v>
      </c>
      <c r="J18" s="2">
        <f t="shared" si="1"/>
        <v>0</v>
      </c>
    </row>
    <row r="19" spans="1:10" ht="15.6" x14ac:dyDescent="0.3">
      <c r="A19" s="2">
        <f t="shared" si="3"/>
        <v>11</v>
      </c>
      <c r="B19" s="2">
        <f t="shared" si="2"/>
        <v>-6.7079069358943978E-4</v>
      </c>
      <c r="C19" s="2">
        <f t="shared" si="1"/>
        <v>-3.5543827714390743E-5</v>
      </c>
      <c r="D19" s="2">
        <f t="shared" si="1"/>
        <v>-1.1965609440206097E-6</v>
      </c>
      <c r="E19" s="2">
        <f t="shared" si="1"/>
        <v>-2.1674416281960228E-8</v>
      </c>
      <c r="F19" s="2">
        <f t="shared" si="1"/>
        <v>-1.5992896404014582E-10</v>
      </c>
      <c r="G19" s="2">
        <f t="shared" si="1"/>
        <v>-2.8528236008181904E-13</v>
      </c>
      <c r="H19" s="2">
        <f t="shared" si="1"/>
        <v>-3.8130036363636655E-17</v>
      </c>
      <c r="I19" s="2">
        <f t="shared" si="1"/>
        <v>-9.090909090909269E-24</v>
      </c>
      <c r="J19" s="2">
        <f t="shared" si="1"/>
        <v>0</v>
      </c>
    </row>
    <row r="20" spans="1:10" ht="15.6" x14ac:dyDescent="0.3">
      <c r="A20" s="2">
        <f t="shared" si="3"/>
        <v>12</v>
      </c>
      <c r="B20" s="2">
        <f t="shared" si="2"/>
        <v>3.935305402391381E-4</v>
      </c>
      <c r="C20" s="2">
        <f t="shared" si="1"/>
        <v>1.5965102615047173E-5</v>
      </c>
      <c r="D20" s="2">
        <f t="shared" si="1"/>
        <v>3.9486511152680117E-7</v>
      </c>
      <c r="E20" s="2">
        <f t="shared" si="1"/>
        <v>4.9670537312825518E-9</v>
      </c>
      <c r="F20" s="2">
        <f t="shared" si="1"/>
        <v>2.3456248059221393E-11</v>
      </c>
      <c r="G20" s="2">
        <f t="shared" si="1"/>
        <v>2.3535794706750074E-14</v>
      </c>
      <c r="H20" s="2">
        <f t="shared" si="1"/>
        <v>1.3981013333333454E-18</v>
      </c>
      <c r="I20" s="2">
        <f t="shared" si="1"/>
        <v>8.3333333333335118E-26</v>
      </c>
      <c r="J20" s="2">
        <f t="shared" si="1"/>
        <v>0</v>
      </c>
    </row>
    <row r="21" spans="1:10" ht="15.6" x14ac:dyDescent="0.3">
      <c r="A21" s="2">
        <f t="shared" si="3"/>
        <v>13</v>
      </c>
      <c r="B21" s="2">
        <f t="shared" si="2"/>
        <v>-2.3248573454127548E-4</v>
      </c>
      <c r="C21" s="2">
        <f t="shared" si="1"/>
        <v>-7.22113872126749E-6</v>
      </c>
      <c r="D21" s="2">
        <f t="shared" si="1"/>
        <v>-1.3121671398429087E-7</v>
      </c>
      <c r="E21" s="2">
        <f t="shared" si="1"/>
        <v>-1.1462431687575121E-9</v>
      </c>
      <c r="F21" s="2">
        <f t="shared" si="1"/>
        <v>-3.4643074056696219E-12</v>
      </c>
      <c r="G21" s="2">
        <f t="shared" si="1"/>
        <v>-1.9552814064069297E-15</v>
      </c>
      <c r="H21" s="2">
        <f t="shared" si="1"/>
        <v>-5.162220307692355E-20</v>
      </c>
      <c r="I21" s="2">
        <f t="shared" si="1"/>
        <v>-7.6923076923078713E-28</v>
      </c>
      <c r="J21" s="2">
        <f t="shared" si="1"/>
        <v>0</v>
      </c>
    </row>
    <row r="22" spans="1:10" ht="15.6" x14ac:dyDescent="0.3">
      <c r="A22" s="2">
        <f t="shared" si="3"/>
        <v>14</v>
      </c>
      <c r="B22" s="2">
        <f t="shared" ref="B22:J25" si="4">(-1)^$A22*((1+B$7)^($A22*2))/$A22</f>
        <v>1.3816295081310091E-4</v>
      </c>
      <c r="C22" s="2">
        <f t="shared" ref="C22:J24" si="5">(-1)^$A22*((1+C$7)^($A22*2))/$A22</f>
        <v>3.285618118176707E-6</v>
      </c>
      <c r="D22" s="2">
        <f t="shared" si="5"/>
        <v>4.3863872960462941E-8</v>
      </c>
      <c r="E22" s="2">
        <f t="shared" si="5"/>
        <v>2.6609216417585099E-10</v>
      </c>
      <c r="F22" s="2">
        <f t="shared" si="5"/>
        <v>5.1469710027091544E-13</v>
      </c>
      <c r="G22" s="2">
        <f t="shared" si="5"/>
        <v>1.6340566039257921E-16</v>
      </c>
      <c r="H22" s="2">
        <f t="shared" si="5"/>
        <v>1.9173961142857331E-21</v>
      </c>
      <c r="I22" s="2">
        <f t="shared" si="5"/>
        <v>7.1428571428573208E-30</v>
      </c>
      <c r="J22" s="2">
        <f t="shared" si="5"/>
        <v>0</v>
      </c>
    </row>
    <row r="23" spans="1:10" ht="15.6" x14ac:dyDescent="0.3">
      <c r="A23" s="2">
        <f t="shared" si="3"/>
        <v>15</v>
      </c>
      <c r="B23" s="2">
        <f t="shared" si="4"/>
        <v>-8.2529335952358931E-5</v>
      </c>
      <c r="C23" s="2">
        <f t="shared" si="5"/>
        <v>-1.5026226860461471E-6</v>
      </c>
      <c r="D23" s="2">
        <f t="shared" si="5"/>
        <v>-1.4738261314715548E-8</v>
      </c>
      <c r="E23" s="2">
        <f t="shared" si="5"/>
        <v>-6.20881716410319E-11</v>
      </c>
      <c r="F23" s="2">
        <f t="shared" si="5"/>
        <v>-7.6861433640456694E-14</v>
      </c>
      <c r="G23" s="2">
        <f t="shared" si="5"/>
        <v>-1.3726075472976656E-17</v>
      </c>
      <c r="H23" s="2">
        <f t="shared" si="5"/>
        <v>-7.1582788266667421E-23</v>
      </c>
      <c r="I23" s="2">
        <f t="shared" si="5"/>
        <v>-6.6666666666668431E-32</v>
      </c>
      <c r="J23" s="2">
        <f t="shared" si="5"/>
        <v>0</v>
      </c>
    </row>
    <row r="24" spans="1:10" ht="15.6" x14ac:dyDescent="0.3">
      <c r="A24" s="2">
        <f t="shared" si="3"/>
        <v>16</v>
      </c>
      <c r="B24" s="2">
        <f t="shared" si="4"/>
        <v>4.9517601571415383E-5</v>
      </c>
      <c r="C24" s="2">
        <f t="shared" si="5"/>
        <v>6.9026729640244879E-7</v>
      </c>
      <c r="D24" s="2">
        <f t="shared" si="5"/>
        <v>4.9741631937164965E-9</v>
      </c>
      <c r="E24" s="2">
        <f t="shared" si="5"/>
        <v>1.4551915228366852E-11</v>
      </c>
      <c r="F24" s="2">
        <f t="shared" si="5"/>
        <v>1.152921504606851E-14</v>
      </c>
      <c r="G24" s="2">
        <f t="shared" si="5"/>
        <v>1.1581376180324055E-18</v>
      </c>
      <c r="H24" s="2">
        <f t="shared" si="5"/>
        <v>2.6843545600000303E-24</v>
      </c>
      <c r="I24" s="2">
        <f t="shared" si="5"/>
        <v>6.2500000000001782E-34</v>
      </c>
      <c r="J24" s="2">
        <f t="shared" si="5"/>
        <v>0</v>
      </c>
    </row>
    <row r="25" spans="1:10" ht="15.6" x14ac:dyDescent="0.3">
      <c r="A25" s="2">
        <f t="shared" si="3"/>
        <v>17</v>
      </c>
      <c r="B25" s="2">
        <f t="shared" si="4"/>
        <v>-2.9827072946546685E-5</v>
      </c>
      <c r="C25" s="2">
        <f t="shared" si="4"/>
        <v>-3.1833503551736457E-7</v>
      </c>
      <c r="D25" s="2">
        <f t="shared" si="4"/>
        <v>-1.6853635291651188E-9</v>
      </c>
      <c r="E25" s="2">
        <f t="shared" si="4"/>
        <v>-3.4239800537333768E-12</v>
      </c>
      <c r="F25" s="2">
        <f t="shared" si="4"/>
        <v>-1.7361641481138466E-15</v>
      </c>
      <c r="G25" s="2">
        <f t="shared" si="4"/>
        <v>-9.8101068821568491E-20</v>
      </c>
      <c r="H25" s="2">
        <f t="shared" si="4"/>
        <v>-1.0105805402353062E-25</v>
      </c>
      <c r="I25" s="2">
        <f t="shared" si="4"/>
        <v>-5.8823529411766489E-36</v>
      </c>
      <c r="J25" s="2">
        <f t="shared" si="4"/>
        <v>0</v>
      </c>
    </row>
    <row r="26" spans="1:10" ht="15.6" x14ac:dyDescent="0.3">
      <c r="A26" s="2">
        <f t="shared" si="3"/>
        <v>18</v>
      </c>
      <c r="B26" s="2">
        <f t="shared" ref="B26:J48" si="6">(-1)^$A26*((1+B$7)^($A26*2))/$A26</f>
        <v>1.8028808536579334E-5</v>
      </c>
      <c r="C26" s="2">
        <f t="shared" si="6"/>
        <v>1.4731838032553591E-7</v>
      </c>
      <c r="D26" s="2">
        <f t="shared" si="6"/>
        <v>5.7302359991614039E-10</v>
      </c>
      <c r="E26" s="2">
        <f t="shared" si="6"/>
        <v>8.084397349092695E-13</v>
      </c>
      <c r="F26" s="2">
        <f t="shared" si="6"/>
        <v>2.623536934927591E-16</v>
      </c>
      <c r="G26" s="2">
        <f t="shared" si="6"/>
        <v>8.3385908498333243E-21</v>
      </c>
      <c r="H26" s="2">
        <f t="shared" si="6"/>
        <v>3.8177487075556036E-27</v>
      </c>
      <c r="I26" s="2">
        <f t="shared" si="6"/>
        <v>5.5555555555557331E-38</v>
      </c>
      <c r="J26" s="2">
        <f t="shared" si="6"/>
        <v>0</v>
      </c>
    </row>
    <row r="27" spans="1:10" ht="15.6" x14ac:dyDescent="0.3">
      <c r="A27" s="2">
        <f t="shared" si="3"/>
        <v>19</v>
      </c>
      <c r="B27" s="2">
        <f t="shared" si="6"/>
        <v>-1.0931151281125997E-5</v>
      </c>
      <c r="C27" s="2">
        <f t="shared" si="6"/>
        <v>-6.8386742866906662E-8</v>
      </c>
      <c r="D27" s="2">
        <f t="shared" si="6"/>
        <v>-1.9543120670824153E-10</v>
      </c>
      <c r="E27" s="2">
        <f t="shared" si="6"/>
        <v>-1.9147256879430067E-13</v>
      </c>
      <c r="F27" s="2">
        <f t="shared" si="6"/>
        <v>-3.9767296697849805E-17</v>
      </c>
      <c r="G27" s="2">
        <f t="shared" si="6"/>
        <v>-7.1097458824894672E-22</v>
      </c>
      <c r="H27" s="2">
        <f t="shared" si="6"/>
        <v>-1.446725826021072E-28</v>
      </c>
      <c r="I27" s="2">
        <f t="shared" si="6"/>
        <v>-5.2631578947370201E-40</v>
      </c>
      <c r="J27" s="2">
        <f t="shared" si="6"/>
        <v>0</v>
      </c>
    </row>
    <row r="28" spans="1:10" ht="15.6" x14ac:dyDescent="0.3">
      <c r="A28" s="2">
        <f t="shared" si="3"/>
        <v>20</v>
      </c>
      <c r="B28" s="2">
        <f t="shared" si="6"/>
        <v>6.646139978924609E-6</v>
      </c>
      <c r="C28" s="2">
        <f t="shared" si="6"/>
        <v>3.1834028804545048E-8</v>
      </c>
      <c r="D28" s="2">
        <f t="shared" si="6"/>
        <v>6.6837472694218606E-11</v>
      </c>
      <c r="E28" s="2">
        <f t="shared" si="6"/>
        <v>4.5474735088646414E-14</v>
      </c>
      <c r="F28" s="2">
        <f t="shared" si="6"/>
        <v>6.0446290980731729E-18</v>
      </c>
      <c r="G28" s="2">
        <f t="shared" si="6"/>
        <v>6.0788327295284961E-23</v>
      </c>
      <c r="H28" s="2">
        <f t="shared" si="6"/>
        <v>5.4975581388800778E-30</v>
      </c>
      <c r="I28" s="2">
        <f t="shared" si="6"/>
        <v>5.0000000000001778E-42</v>
      </c>
      <c r="J28" s="2">
        <f t="shared" si="6"/>
        <v>0</v>
      </c>
    </row>
    <row r="29" spans="1:10" ht="15.6" x14ac:dyDescent="0.3">
      <c r="A29" s="2">
        <f t="shared" si="3"/>
        <v>21</v>
      </c>
      <c r="B29" s="2">
        <f t="shared" si="6"/>
        <v>-4.0509805585826187E-6</v>
      </c>
      <c r="C29" s="2">
        <f t="shared" si="6"/>
        <v>-1.4855880108787688E-8</v>
      </c>
      <c r="D29" s="2">
        <f t="shared" si="6"/>
        <v>-2.2915704923732095E-11</v>
      </c>
      <c r="E29" s="2">
        <f t="shared" si="6"/>
        <v>-1.0827317878249145E-14</v>
      </c>
      <c r="F29" s="2">
        <f t="shared" si="6"/>
        <v>-9.2108633875400727E-19</v>
      </c>
      <c r="G29" s="2">
        <f t="shared" si="6"/>
        <v>-5.2104280538815693E-24</v>
      </c>
      <c r="H29" s="2">
        <f t="shared" si="6"/>
        <v>-2.0943078624305074E-31</v>
      </c>
      <c r="I29" s="2">
        <f t="shared" si="6"/>
        <v>-4.7619047619049404E-44</v>
      </c>
      <c r="J29" s="2">
        <f t="shared" si="6"/>
        <v>0</v>
      </c>
    </row>
    <row r="30" spans="1:10" ht="15.6" x14ac:dyDescent="0.3">
      <c r="A30" s="2">
        <f t="shared" si="3"/>
        <v>22</v>
      </c>
      <c r="B30" s="2">
        <f t="shared" si="6"/>
        <v>2.4747808503341102E-6</v>
      </c>
      <c r="C30" s="2">
        <f t="shared" si="6"/>
        <v>6.9485002872466032E-9</v>
      </c>
      <c r="D30" s="2">
        <f t="shared" si="6"/>
        <v>7.8746695101552093E-12</v>
      </c>
      <c r="E30" s="2">
        <f t="shared" si="6"/>
        <v>2.5837917664003644E-15</v>
      </c>
      <c r="F30" s="2">
        <f t="shared" si="6"/>
        <v>1.4067500446424846E-19</v>
      </c>
      <c r="G30" s="2">
        <f t="shared" si="6"/>
        <v>4.4762313735618956E-25</v>
      </c>
      <c r="H30" s="2">
        <f t="shared" si="6"/>
        <v>7.9964482020073974E-33</v>
      </c>
      <c r="I30" s="2">
        <f t="shared" si="6"/>
        <v>4.5454545454547237E-46</v>
      </c>
      <c r="J30" s="2">
        <f t="shared" si="6"/>
        <v>0</v>
      </c>
    </row>
    <row r="31" spans="1:10" ht="15.6" x14ac:dyDescent="0.3">
      <c r="A31" s="2">
        <f t="shared" si="3"/>
        <v>23</v>
      </c>
      <c r="B31" s="2">
        <f t="shared" si="6"/>
        <v>-1.5149962770740987E-6</v>
      </c>
      <c r="C31" s="2">
        <f t="shared" si="6"/>
        <v>-3.2567318737616684E-9</v>
      </c>
      <c r="D31" s="2">
        <f t="shared" si="6"/>
        <v>-2.7116253269751849E-12</v>
      </c>
      <c r="E31" s="2">
        <f t="shared" si="6"/>
        <v>-6.1786324848704362E-16</v>
      </c>
      <c r="F31" s="2">
        <f t="shared" si="6"/>
        <v>-2.1529391987571937E-20</v>
      </c>
      <c r="G31" s="2">
        <f t="shared" si="6"/>
        <v>-3.8534513563706762E-26</v>
      </c>
      <c r="H31" s="2">
        <f t="shared" si="6"/>
        <v>-3.0595106164202232E-34</v>
      </c>
      <c r="I31" s="2">
        <f t="shared" si="6"/>
        <v>-4.3478260869566993E-48</v>
      </c>
      <c r="J31" s="2">
        <f t="shared" si="6"/>
        <v>0</v>
      </c>
    </row>
    <row r="32" spans="1:10" ht="15.6" x14ac:dyDescent="0.3">
      <c r="A32" s="2">
        <f t="shared" si="3"/>
        <v>24</v>
      </c>
      <c r="B32" s="2">
        <f t="shared" si="6"/>
        <v>9.2919771660544741E-7</v>
      </c>
      <c r="C32" s="2">
        <f t="shared" si="6"/>
        <v>1.5293070090539164E-9</v>
      </c>
      <c r="D32" s="2">
        <f t="shared" si="6"/>
        <v>9.3551073780643865E-13</v>
      </c>
      <c r="E32" s="2">
        <f t="shared" si="6"/>
        <v>1.4802973661668753E-16</v>
      </c>
      <c r="F32" s="2">
        <f t="shared" si="6"/>
        <v>3.3011734380943644E-21</v>
      </c>
      <c r="G32" s="2">
        <f t="shared" si="6"/>
        <v>3.3236017948697086E-27</v>
      </c>
      <c r="H32" s="2">
        <f t="shared" si="6"/>
        <v>1.1728124029610866E-35</v>
      </c>
      <c r="I32" s="2">
        <f t="shared" si="6"/>
        <v>4.1666666666668452E-50</v>
      </c>
      <c r="J32" s="2">
        <f t="shared" si="6"/>
        <v>0</v>
      </c>
    </row>
    <row r="33" spans="1:10" ht="15.6" x14ac:dyDescent="0.3">
      <c r="A33" s="2">
        <f t="shared" si="3"/>
        <v>25</v>
      </c>
      <c r="B33" s="2">
        <f t="shared" si="6"/>
        <v>-5.7089907708238692E-7</v>
      </c>
      <c r="C33" s="2">
        <f t="shared" si="6"/>
        <v>-7.1938601705896221E-10</v>
      </c>
      <c r="D33" s="2">
        <f t="shared" si="6"/>
        <v>-3.2331251098590526E-13</v>
      </c>
      <c r="E33" s="2">
        <f t="shared" si="6"/>
        <v>-3.552713678800501E-17</v>
      </c>
      <c r="F33" s="2">
        <f t="shared" si="6"/>
        <v>-5.070602400912944E-22</v>
      </c>
      <c r="G33" s="2">
        <f t="shared" si="6"/>
        <v>-2.8715919507674295E-28</v>
      </c>
      <c r="H33" s="2">
        <f t="shared" si="6"/>
        <v>-4.5035996273705754E-37</v>
      </c>
      <c r="I33" s="2">
        <f t="shared" si="6"/>
        <v>-4.0000000000001781E-52</v>
      </c>
      <c r="J33" s="2">
        <f t="shared" si="6"/>
        <v>0</v>
      </c>
    </row>
    <row r="34" spans="1:10" ht="15.6" x14ac:dyDescent="0.3">
      <c r="A34" s="2">
        <f t="shared" si="3"/>
        <v>26</v>
      </c>
      <c r="B34" s="2">
        <f t="shared" si="6"/>
        <v>3.5132250897377675E-7</v>
      </c>
      <c r="C34" s="2">
        <f t="shared" si="6"/>
        <v>3.3894148880662636E-10</v>
      </c>
      <c r="D34" s="2">
        <f t="shared" si="6"/>
        <v>1.1191586918742874E-13</v>
      </c>
      <c r="E34" s="2">
        <f t="shared" si="6"/>
        <v>8.5401771125012046E-18</v>
      </c>
      <c r="F34" s="2">
        <f t="shared" si="6"/>
        <v>7.8009267706353026E-23</v>
      </c>
      <c r="G34" s="2">
        <f t="shared" si="6"/>
        <v>2.4850314958564301E-29</v>
      </c>
      <c r="H34" s="2">
        <f t="shared" si="6"/>
        <v>1.732153702834838E-38</v>
      </c>
      <c r="I34" s="2">
        <f t="shared" si="6"/>
        <v>3.8461538461540247E-54</v>
      </c>
      <c r="J34" s="2">
        <f t="shared" si="6"/>
        <v>0</v>
      </c>
    </row>
    <row r="35" spans="1:10" ht="15.6" x14ac:dyDescent="0.3">
      <c r="A35" s="2">
        <f t="shared" si="3"/>
        <v>27</v>
      </c>
      <c r="B35" s="2">
        <f t="shared" si="6"/>
        <v>-2.1651876108606094E-7</v>
      </c>
      <c r="C35" s="2">
        <f t="shared" si="6"/>
        <v>-1.5993016916283035E-10</v>
      </c>
      <c r="D35" s="2">
        <f t="shared" si="6"/>
        <v>-3.8797501318308623E-14</v>
      </c>
      <c r="E35" s="2">
        <f t="shared" si="6"/>
        <v>-2.0559685641206601E-18</v>
      </c>
      <c r="F35" s="2">
        <f t="shared" si="6"/>
        <v>-1.2019205691052911E-23</v>
      </c>
      <c r="G35" s="2">
        <f t="shared" si="6"/>
        <v>-2.1536939630755728E-30</v>
      </c>
      <c r="H35" s="2">
        <f t="shared" si="6"/>
        <v>-6.6719994479564171E-40</v>
      </c>
      <c r="I35" s="2">
        <f t="shared" si="6"/>
        <v>-3.7037037037038818E-56</v>
      </c>
      <c r="J35" s="2">
        <f t="shared" si="6"/>
        <v>0</v>
      </c>
    </row>
    <row r="36" spans="1:10" ht="15.6" x14ac:dyDescent="0.3">
      <c r="A36" s="2">
        <f t="shared" si="3"/>
        <v>28</v>
      </c>
      <c r="B36" s="2">
        <f t="shared" si="6"/>
        <v>1.3362300684168335E-7</v>
      </c>
      <c r="C36" s="2">
        <f t="shared" si="6"/>
        <v>7.5567004929437332E-11</v>
      </c>
      <c r="D36" s="2">
        <f t="shared" si="6"/>
        <v>1.3468275457641421E-14</v>
      </c>
      <c r="E36" s="2">
        <f t="shared" si="6"/>
        <v>4.9563527885051629E-19</v>
      </c>
      <c r="F36" s="2">
        <f t="shared" si="6"/>
        <v>1.854391735191021E-24</v>
      </c>
      <c r="G36" s="2">
        <f t="shared" si="6"/>
        <v>1.8690986893834442E-31</v>
      </c>
      <c r="H36" s="2">
        <f t="shared" si="6"/>
        <v>2.5734855013546202E-41</v>
      </c>
      <c r="I36" s="2">
        <f t="shared" si="6"/>
        <v>3.5714285714287499E-58</v>
      </c>
      <c r="J36" s="2">
        <f t="shared" si="6"/>
        <v>0</v>
      </c>
    </row>
    <row r="37" spans="1:10" ht="15.6" x14ac:dyDescent="0.3">
      <c r="A37" s="2">
        <f t="shared" si="3"/>
        <v>29</v>
      </c>
      <c r="B37" s="2">
        <f t="shared" si="6"/>
        <v>-8.2569802848378142E-8</v>
      </c>
      <c r="C37" s="2">
        <f t="shared" si="6"/>
        <v>-3.5751010607995858E-11</v>
      </c>
      <c r="D37" s="2">
        <f t="shared" si="6"/>
        <v>-4.6813867797595015E-15</v>
      </c>
      <c r="E37" s="2">
        <f t="shared" si="6"/>
        <v>-1.1963610179150394E-19</v>
      </c>
      <c r="F37" s="2">
        <f t="shared" si="6"/>
        <v>-2.864715508157164E-25</v>
      </c>
      <c r="G37" s="2">
        <f t="shared" si="6"/>
        <v>-1.624182309395269E-32</v>
      </c>
      <c r="H37" s="2">
        <f t="shared" si="6"/>
        <v>-9.9389784879902649E-43</v>
      </c>
      <c r="I37" s="2">
        <f t="shared" si="6"/>
        <v>-3.4482758620691443E-60</v>
      </c>
      <c r="J37" s="2">
        <f t="shared" si="6"/>
        <v>0</v>
      </c>
    </row>
    <row r="38" spans="1:10" ht="15.6" x14ac:dyDescent="0.3">
      <c r="A38" s="2">
        <f t="shared" si="3"/>
        <v>30</v>
      </c>
      <c r="B38" s="2">
        <f t="shared" si="6"/>
        <v>5.1083184695529968E-8</v>
      </c>
      <c r="C38" s="2">
        <f t="shared" si="6"/>
        <v>1.693406202465404E-11</v>
      </c>
      <c r="D38" s="2">
        <f t="shared" si="6"/>
        <v>1.6291225993563063E-15</v>
      </c>
      <c r="E38" s="2">
        <f t="shared" si="6"/>
        <v>2.8912057932946785E-20</v>
      </c>
      <c r="F38" s="2">
        <f t="shared" si="6"/>
        <v>4.430759985949749E-26</v>
      </c>
      <c r="G38" s="2">
        <f t="shared" si="6"/>
        <v>1.413038609173885E-33</v>
      </c>
      <c r="H38" s="2">
        <f t="shared" si="6"/>
        <v>3.8430716820229046E-44</v>
      </c>
      <c r="I38" s="2">
        <f t="shared" si="6"/>
        <v>3.3333333333335114E-62</v>
      </c>
      <c r="J38" s="2">
        <f t="shared" si="6"/>
        <v>0</v>
      </c>
    </row>
    <row r="39" spans="1:10" ht="15.6" x14ac:dyDescent="0.3">
      <c r="A39" s="2">
        <f t="shared" si="3"/>
        <v>31</v>
      </c>
      <c r="B39" s="2">
        <f t="shared" si="6"/>
        <v>-3.1638617617876624E-8</v>
      </c>
      <c r="C39" s="2">
        <f t="shared" si="6"/>
        <v>-8.0300229600778797E-12</v>
      </c>
      <c r="D39" s="2">
        <f t="shared" si="6"/>
        <v>-5.6756529267897117E-16</v>
      </c>
      <c r="E39" s="2">
        <f t="shared" si="6"/>
        <v>-6.9948527257129316E-21</v>
      </c>
      <c r="F39" s="2">
        <f t="shared" si="6"/>
        <v>-6.8605315911479982E-27</v>
      </c>
      <c r="G39" s="2">
        <f t="shared" si="6"/>
        <v>-1.2307110466998354E-34</v>
      </c>
      <c r="H39" s="2">
        <f t="shared" si="6"/>
        <v>-1.4876406511056415E-45</v>
      </c>
      <c r="I39" s="2">
        <f t="shared" si="6"/>
        <v>-3.225806451613081E-64</v>
      </c>
      <c r="J39" s="2">
        <f t="shared" si="6"/>
        <v>0</v>
      </c>
    </row>
    <row r="40" spans="1:10" ht="15.6" x14ac:dyDescent="0.3">
      <c r="A40" s="2">
        <f t="shared" si="3"/>
        <v>32</v>
      </c>
      <c r="B40" s="2">
        <f t="shared" si="6"/>
        <v>1.9615942923083512E-8</v>
      </c>
      <c r="C40" s="2">
        <f t="shared" si="6"/>
        <v>3.811751523861969E-12</v>
      </c>
      <c r="D40" s="2">
        <f t="shared" si="6"/>
        <v>1.9793839582179117E-16</v>
      </c>
      <c r="E40" s="2">
        <f t="shared" si="6"/>
        <v>1.6940658945086007E-21</v>
      </c>
      <c r="F40" s="2">
        <f t="shared" si="6"/>
        <v>1.06338239662794E-27</v>
      </c>
      <c r="G40" s="2">
        <f t="shared" si="6"/>
        <v>1.0730261938414191E-35</v>
      </c>
      <c r="H40" s="2">
        <f t="shared" si="6"/>
        <v>5.764607523034365E-47</v>
      </c>
      <c r="I40" s="2">
        <f t="shared" si="6"/>
        <v>3.1250000000001781E-66</v>
      </c>
      <c r="J40" s="2">
        <f t="shared" si="6"/>
        <v>0</v>
      </c>
    </row>
    <row r="41" spans="1:10" ht="15.6" x14ac:dyDescent="0.3">
      <c r="A41" s="2">
        <f t="shared" si="3"/>
        <v>33</v>
      </c>
      <c r="B41" s="2">
        <f t="shared" si="6"/>
        <v>-1.2173773062568194E-8</v>
      </c>
      <c r="C41" s="2">
        <f t="shared" si="6"/>
        <v>-1.8111595119441113E-12</v>
      </c>
      <c r="D41" s="2">
        <f t="shared" si="6"/>
        <v>-6.9098494541425274E-17</v>
      </c>
      <c r="E41" s="2">
        <f t="shared" si="6"/>
        <v>-4.1068264109299412E-22</v>
      </c>
      <c r="F41" s="2">
        <f t="shared" si="6"/>
        <v>-1.6498539002227435E-28</v>
      </c>
      <c r="G41" s="2">
        <f t="shared" si="6"/>
        <v>-9.3645922371614783E-37</v>
      </c>
      <c r="H41" s="2">
        <f t="shared" si="6"/>
        <v>-2.235968978631513E-48</v>
      </c>
      <c r="I41" s="2">
        <f t="shared" si="6"/>
        <v>-3.0303030303032085E-68</v>
      </c>
      <c r="J41" s="2">
        <f t="shared" si="6"/>
        <v>0</v>
      </c>
    </row>
    <row r="42" spans="1:10" ht="15.6" x14ac:dyDescent="0.3">
      <c r="A42" s="2">
        <f t="shared" si="3"/>
        <v>34</v>
      </c>
      <c r="B42" s="2">
        <f t="shared" si="6"/>
        <v>7.5620613847482452E-9</v>
      </c>
      <c r="C42" s="2">
        <f t="shared" si="6"/>
        <v>8.6136615612165503E-13</v>
      </c>
      <c r="D42" s="2">
        <f t="shared" si="6"/>
        <v>2.4143826916239187E-17</v>
      </c>
      <c r="E42" s="2">
        <f t="shared" si="6"/>
        <v>9.9650934971094156E-23</v>
      </c>
      <c r="F42" s="2">
        <f t="shared" si="6"/>
        <v>2.5621260568164967E-29</v>
      </c>
      <c r="G42" s="2">
        <f t="shared" si="6"/>
        <v>8.1802467483439991E-38</v>
      </c>
      <c r="H42" s="2">
        <f t="shared" si="6"/>
        <v>8.680820740569409E-50</v>
      </c>
      <c r="I42" s="2">
        <f t="shared" si="6"/>
        <v>2.9411764705884133E-70</v>
      </c>
      <c r="J42" s="2">
        <f t="shared" si="6"/>
        <v>0</v>
      </c>
    </row>
    <row r="43" spans="1:10" ht="15.6" x14ac:dyDescent="0.3">
      <c r="A43" s="2">
        <f t="shared" si="3"/>
        <v>35</v>
      </c>
      <c r="B43" s="2">
        <f t="shared" si="6"/>
        <v>-4.701441592346338E-9</v>
      </c>
      <c r="C43" s="2">
        <f t="shared" si="6"/>
        <v>-4.1001029031390774E-13</v>
      </c>
      <c r="D43" s="2">
        <f t="shared" si="6"/>
        <v>-8.4434411844219324E-18</v>
      </c>
      <c r="E43" s="2">
        <f t="shared" si="6"/>
        <v>-2.4200941350122866E-23</v>
      </c>
      <c r="F43" s="2">
        <f t="shared" si="6"/>
        <v>-3.9822759283090695E-30</v>
      </c>
      <c r="G43" s="2">
        <f t="shared" si="6"/>
        <v>-7.1518728714093269E-39</v>
      </c>
      <c r="H43" s="2">
        <f t="shared" si="6"/>
        <v>-3.3731189163355436E-51</v>
      </c>
      <c r="I43" s="2">
        <f t="shared" si="6"/>
        <v>-2.8571428571430348E-72</v>
      </c>
      <c r="J43" s="2">
        <f t="shared" si="6"/>
        <v>0</v>
      </c>
    </row>
    <row r="44" spans="1:10" ht="15.6" x14ac:dyDescent="0.3">
      <c r="A44" s="2">
        <f t="shared" si="3"/>
        <v>36</v>
      </c>
      <c r="B44" s="2">
        <f t="shared" si="6"/>
        <v>2.9253414352377222E-9</v>
      </c>
      <c r="C44" s="2">
        <f t="shared" si="6"/>
        <v>1.9532434663565324E-13</v>
      </c>
      <c r="D44" s="2">
        <f t="shared" si="6"/>
        <v>2.9552044145476759E-18</v>
      </c>
      <c r="E44" s="2">
        <f t="shared" si="6"/>
        <v>5.8821732448215298E-24</v>
      </c>
      <c r="F44" s="2">
        <f t="shared" si="6"/>
        <v>6.1946514440363321E-31</v>
      </c>
      <c r="G44" s="2">
        <f t="shared" si="6"/>
        <v>6.2578887624831636E-40</v>
      </c>
      <c r="H44" s="2">
        <f t="shared" si="6"/>
        <v>1.3117684674638237E-52</v>
      </c>
      <c r="I44" s="2">
        <f t="shared" si="6"/>
        <v>2.7777777777779555E-74</v>
      </c>
      <c r="J44" s="2">
        <f t="shared" si="6"/>
        <v>0</v>
      </c>
    </row>
    <row r="45" spans="1:10" ht="15.6" x14ac:dyDescent="0.3">
      <c r="A45" s="2">
        <f t="shared" si="3"/>
        <v>37</v>
      </c>
      <c r="B45" s="2">
        <f t="shared" si="6"/>
        <v>-1.8216180180507334E-9</v>
      </c>
      <c r="C45" s="2">
        <f t="shared" si="6"/>
        <v>-9.3122202017646559E-14</v>
      </c>
      <c r="D45" s="2">
        <f t="shared" si="6"/>
        <v>-1.0351202489875102E-18</v>
      </c>
      <c r="E45" s="2">
        <f t="shared" si="6"/>
        <v>-1.4307988973890209E-24</v>
      </c>
      <c r="F45" s="2">
        <f t="shared" si="6"/>
        <v>-9.6435654912565625E-32</v>
      </c>
      <c r="G45" s="2">
        <f t="shared" si="6"/>
        <v>-5.4798809703906632E-41</v>
      </c>
      <c r="H45" s="2">
        <f t="shared" si="6"/>
        <v>-5.105261062561912E-54</v>
      </c>
      <c r="I45" s="2">
        <f t="shared" si="6"/>
        <v>-2.702702702702881E-76</v>
      </c>
      <c r="J45" s="2">
        <f t="shared" si="6"/>
        <v>0</v>
      </c>
    </row>
    <row r="46" spans="1:10" ht="15.6" x14ac:dyDescent="0.3">
      <c r="A46" s="2">
        <f t="shared" si="3"/>
        <v>38</v>
      </c>
      <c r="B46" s="2">
        <f t="shared" si="6"/>
        <v>1.1351556491431942E-9</v>
      </c>
      <c r="C46" s="2">
        <f t="shared" si="6"/>
        <v>4.4429092699471888E-14</v>
      </c>
      <c r="D46" s="2">
        <f t="shared" si="6"/>
        <v>3.6283688727667462E-19</v>
      </c>
      <c r="E46" s="2">
        <f t="shared" si="6"/>
        <v>3.4828657370653795E-25</v>
      </c>
      <c r="F46" s="2">
        <f t="shared" si="6"/>
        <v>1.5023659923220755E-32</v>
      </c>
      <c r="G46" s="2">
        <f t="shared" si="6"/>
        <v>4.8021062187897144E-42</v>
      </c>
      <c r="H46" s="2">
        <f t="shared" si="6"/>
        <v>1.9883648348925356E-55</v>
      </c>
      <c r="I46" s="2">
        <f t="shared" si="6"/>
        <v>2.6315789473685991E-78</v>
      </c>
      <c r="J46" s="2">
        <f t="shared" si="6"/>
        <v>0</v>
      </c>
    </row>
    <row r="47" spans="1:10" ht="15.6" x14ac:dyDescent="0.3">
      <c r="A47" s="2">
        <f t="shared" si="3"/>
        <v>39</v>
      </c>
      <c r="B47" s="2">
        <f t="shared" si="6"/>
        <v>-7.0787142018365341E-10</v>
      </c>
      <c r="C47" s="2">
        <f t="shared" si="6"/>
        <v>-2.1212043745235036E-14</v>
      </c>
      <c r="D47" s="2">
        <f t="shared" si="6"/>
        <v>-1.2727201584474126E-19</v>
      </c>
      <c r="E47" s="2">
        <f t="shared" si="6"/>
        <v>-8.4839037184925912E-26</v>
      </c>
      <c r="F47" s="2">
        <f t="shared" si="6"/>
        <v>-2.3421500598251842E-33</v>
      </c>
      <c r="G47" s="2">
        <f t="shared" si="6"/>
        <v>-4.2110777610925199E-43</v>
      </c>
      <c r="H47" s="2">
        <f t="shared" si="6"/>
        <v>-7.7495244847093736E-57</v>
      </c>
      <c r="I47" s="2">
        <f t="shared" si="6"/>
        <v>-2.5641025641027418E-80</v>
      </c>
      <c r="J47" s="2">
        <f t="shared" si="6"/>
        <v>0</v>
      </c>
    </row>
    <row r="48" spans="1:10" ht="16.2" thickBot="1" x14ac:dyDescent="0.35">
      <c r="A48" s="3">
        <f t="shared" si="3"/>
        <v>40</v>
      </c>
      <c r="B48" s="2">
        <f t="shared" si="6"/>
        <v>4.4171176619459989E-10</v>
      </c>
      <c r="C48" s="2">
        <f t="shared" si="6"/>
        <v>1.0134053899286037E-14</v>
      </c>
      <c r="D48" s="2">
        <f t="shared" si="6"/>
        <v>4.4672477561504172E-20</v>
      </c>
      <c r="E48" s="2">
        <f t="shared" si="6"/>
        <v>2.0679515313825693E-26</v>
      </c>
      <c r="F48" s="2">
        <f t="shared" si="6"/>
        <v>3.6537540933272888E-34</v>
      </c>
      <c r="G48" s="2">
        <f t="shared" si="6"/>
        <v>3.6952207353586868E-44</v>
      </c>
      <c r="H48" s="2">
        <f t="shared" si="6"/>
        <v>3.0223145490366584E-58</v>
      </c>
      <c r="I48" s="2">
        <f t="shared" si="6"/>
        <v>2.5000000000001784E-82</v>
      </c>
      <c r="J48" s="2">
        <f t="shared" si="6"/>
        <v>0</v>
      </c>
    </row>
    <row r="49" spans="1:10" ht="16.2" thickBot="1" x14ac:dyDescent="0.35">
      <c r="A49" s="11" t="s">
        <v>2</v>
      </c>
      <c r="B49" s="10">
        <f>SUM(B9:B48)</f>
        <v>-0.49469624166634441</v>
      </c>
      <c r="C49" s="10">
        <f t="shared" ref="C49:I49" si="7">SUM(C9:C48)</f>
        <v>-0.39877611995736451</v>
      </c>
      <c r="D49" s="10">
        <f t="shared" si="7"/>
        <v>-0.30748469974796061</v>
      </c>
      <c r="E49" s="10">
        <f t="shared" si="7"/>
        <v>-0.22314355131420976</v>
      </c>
      <c r="F49" s="10">
        <f t="shared" si="7"/>
        <v>-0.14842000511827336</v>
      </c>
      <c r="G49" s="10">
        <f t="shared" si="7"/>
        <v>-8.6177696241052371E-2</v>
      </c>
      <c r="H49" s="10">
        <f t="shared" si="7"/>
        <v>-3.9220713153281322E-2</v>
      </c>
      <c r="I49" s="10">
        <f t="shared" si="7"/>
        <v>-9.9503308531681007E-3</v>
      </c>
      <c r="J49" s="10">
        <f t="shared" ref="J49" si="8">SUM(J9:J48)</f>
        <v>-1.2325951644078309E-32</v>
      </c>
    </row>
    <row r="50" spans="1:10" ht="16.2" thickBot="1" x14ac:dyDescent="0.35">
      <c r="A50" s="11" t="s">
        <v>3</v>
      </c>
      <c r="B50" s="10">
        <f>LN(1/(2+2*B7+B7^2))</f>
        <v>-0.49469624183610705</v>
      </c>
      <c r="C50" s="10">
        <f t="shared" ref="C50:I50" si="9">LN(1/(2+2*C7+C7^2))</f>
        <v>-0.39877611995736773</v>
      </c>
      <c r="D50" s="10">
        <f t="shared" si="9"/>
        <v>-0.30748469974796055</v>
      </c>
      <c r="E50" s="10">
        <f t="shared" si="9"/>
        <v>-0.22314355131420971</v>
      </c>
      <c r="F50" s="10">
        <f t="shared" si="9"/>
        <v>-0.14842000511827333</v>
      </c>
      <c r="G50" s="10">
        <f t="shared" si="9"/>
        <v>-8.6177696241052398E-2</v>
      </c>
      <c r="H50" s="10">
        <f t="shared" si="9"/>
        <v>-3.9220713153281385E-2</v>
      </c>
      <c r="I50" s="10">
        <f t="shared" si="9"/>
        <v>-9.950330853168092E-3</v>
      </c>
      <c r="J50" s="10">
        <f t="shared" ref="J50" si="10">LN(1/(2+2*J7+J7^2))</f>
        <v>0</v>
      </c>
    </row>
  </sheetData>
  <mergeCells count="14">
    <mergeCell ref="A1:B1"/>
    <mergeCell ref="A2:J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B3:E4"/>
    <mergeCell ref="B5:D6"/>
  </mergeCells>
  <conditionalFormatting sqref="J10:J50 B9:M18 B10:J48">
    <cfRule type="cellIs" dxfId="48" priority="24" operator="greaterThan">
      <formula>1.5</formula>
    </cfRule>
    <cfRule type="cellIs" dxfId="47" priority="23" operator="lessThan">
      <formula>0</formula>
    </cfRule>
  </conditionalFormatting>
  <conditionalFormatting sqref="J10:J50 B9:M18 B10:J21">
    <cfRule type="cellIs" dxfId="46" priority="22" operator="greaterThan">
      <formula>1.5</formula>
    </cfRule>
    <cfRule type="cellIs" dxfId="45" priority="21" operator="lessThan">
      <formula>0</formula>
    </cfRule>
    <cfRule type="cellIs" dxfId="44" priority="20" operator="greaterThan">
      <formula>1.5</formula>
    </cfRule>
    <cfRule type="cellIs" dxfId="43" priority="19" operator="lessThan">
      <formula>0</formula>
    </cfRule>
  </conditionalFormatting>
  <conditionalFormatting sqref="I50:J50">
    <cfRule type="cellIs" dxfId="42" priority="18" operator="greaterThan">
      <formula>1.5</formula>
    </cfRule>
    <cfRule type="cellIs" dxfId="41" priority="17" operator="lessThan">
      <formula>0</formula>
    </cfRule>
    <cfRule type="cellIs" dxfId="40" priority="16" operator="greaterThan">
      <formula>1.5</formula>
    </cfRule>
    <cfRule type="cellIs" dxfId="39" priority="15" operator="lessThan">
      <formula>0</formula>
    </cfRule>
    <cfRule type="cellIs" dxfId="38" priority="14" operator="greaterThan">
      <formula>1.5</formula>
    </cfRule>
    <cfRule type="cellIs" dxfId="37" priority="13" operator="lessThan">
      <formula>0</formula>
    </cfRule>
    <cfRule type="cellIs" dxfId="36" priority="12" operator="greaterThan">
      <formula>1.5</formula>
    </cfRule>
    <cfRule type="cellIs" dxfId="35" priority="11" operator="lessThan">
      <formula>0</formula>
    </cfRule>
    <cfRule type="cellIs" dxfId="34" priority="10" operator="greaterThan">
      <formula>1.5</formula>
    </cfRule>
    <cfRule type="cellIs" dxfId="33" priority="9" operator="lessThan">
      <formula>0</formula>
    </cfRule>
    <cfRule type="cellIs" dxfId="32" priority="8" operator="greaterThan">
      <formula>1.5</formula>
    </cfRule>
    <cfRule type="cellIs" dxfId="31" priority="7" operator="lessThan">
      <formula>0</formula>
    </cfRule>
    <cfRule type="cellIs" dxfId="30" priority="6" operator="greaterThan">
      <formula>1.5</formula>
    </cfRule>
    <cfRule type="cellIs" dxfId="29" priority="5" operator="lessThan">
      <formula>0</formula>
    </cfRule>
    <cfRule type="cellIs" dxfId="28" priority="4" operator="greaterThan">
      <formula>1.5</formula>
    </cfRule>
    <cfRule type="cellIs" dxfId="27" priority="3" operator="lessThan">
      <formula>0</formula>
    </cfRule>
  </conditionalFormatting>
  <conditionalFormatting sqref="B9:J50">
    <cfRule type="cellIs" dxfId="26" priority="2" operator="greaterThan">
      <formula>1.5</formula>
    </cfRule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K25"/>
  <sheetViews>
    <sheetView zoomScale="74" workbookViewId="0">
      <selection activeCell="D15" sqref="D15"/>
    </sheetView>
  </sheetViews>
  <sheetFormatPr defaultRowHeight="14.4" x14ac:dyDescent="0.3"/>
  <sheetData>
    <row r="1" spans="1:11" ht="15.6" x14ac:dyDescent="0.3">
      <c r="A1" s="21" t="s">
        <v>8</v>
      </c>
      <c r="B1" s="21"/>
      <c r="C1" s="1"/>
      <c r="D1" s="1"/>
      <c r="E1" s="1"/>
      <c r="F1" s="1"/>
      <c r="G1" s="1"/>
      <c r="H1" s="1"/>
      <c r="I1" s="1"/>
      <c r="J1" s="1"/>
    </row>
    <row r="2" spans="1:11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ht="15.6" x14ac:dyDescent="0.3">
      <c r="A3" s="1"/>
      <c r="B3" s="20"/>
      <c r="C3" s="20"/>
      <c r="D3" s="20"/>
      <c r="E3" s="20"/>
      <c r="F3" s="1"/>
      <c r="G3" s="1"/>
      <c r="H3" s="1"/>
      <c r="I3" s="1"/>
      <c r="J3" s="1"/>
    </row>
    <row r="4" spans="1:11" ht="15.6" x14ac:dyDescent="0.3">
      <c r="A4" s="1"/>
      <c r="B4" s="20"/>
      <c r="C4" s="20"/>
      <c r="D4" s="20"/>
      <c r="E4" s="20"/>
      <c r="F4" s="1"/>
      <c r="G4" s="1"/>
      <c r="H4" s="1"/>
      <c r="I4" s="1"/>
      <c r="J4" s="1"/>
    </row>
    <row r="5" spans="1:11" ht="15.6" x14ac:dyDescent="0.3">
      <c r="A5" s="1"/>
      <c r="B5" s="20"/>
      <c r="C5" s="20"/>
      <c r="D5" s="12"/>
      <c r="E5" s="1"/>
      <c r="F5" s="1"/>
      <c r="G5" s="1"/>
      <c r="H5" s="1"/>
      <c r="I5" s="1"/>
      <c r="J5" s="1"/>
    </row>
    <row r="6" spans="1:11" ht="16.2" thickBot="1" x14ac:dyDescent="0.35">
      <c r="A6" s="1"/>
      <c r="B6" s="13"/>
      <c r="C6" s="13"/>
      <c r="D6" s="13"/>
      <c r="E6" s="1"/>
      <c r="F6" s="1"/>
      <c r="G6" s="1"/>
      <c r="H6" s="1"/>
      <c r="I6" s="1"/>
      <c r="J6" s="1"/>
    </row>
    <row r="7" spans="1:11" ht="14.4" customHeight="1" x14ac:dyDescent="0.3">
      <c r="A7" s="23" t="s">
        <v>20</v>
      </c>
      <c r="B7" s="25">
        <v>0.1</v>
      </c>
      <c r="C7" s="27">
        <f>B7+0.1</f>
        <v>0.2</v>
      </c>
      <c r="D7" s="27">
        <f t="shared" ref="D7:J7" si="0">C7+0.1</f>
        <v>0.30000000000000004</v>
      </c>
      <c r="E7" s="27">
        <f t="shared" si="0"/>
        <v>0.4</v>
      </c>
      <c r="F7" s="27">
        <f t="shared" si="0"/>
        <v>0.5</v>
      </c>
      <c r="G7" s="27">
        <f t="shared" si="0"/>
        <v>0.6</v>
      </c>
      <c r="H7" s="27">
        <f t="shared" si="0"/>
        <v>0.7</v>
      </c>
      <c r="I7" s="27">
        <f t="shared" si="0"/>
        <v>0.79999999999999993</v>
      </c>
      <c r="J7" s="27">
        <f t="shared" si="0"/>
        <v>0.89999999999999991</v>
      </c>
      <c r="K7" s="27">
        <f t="shared" ref="K7" si="1">J7+0.1</f>
        <v>0.99999999999999989</v>
      </c>
    </row>
    <row r="8" spans="1:11" ht="15" customHeight="1" thickBot="1" x14ac:dyDescent="0.35">
      <c r="A8" s="24"/>
      <c r="B8" s="26"/>
      <c r="C8" s="28"/>
      <c r="D8" s="28"/>
      <c r="E8" s="28"/>
      <c r="F8" s="28"/>
      <c r="G8" s="28"/>
      <c r="H8" s="28"/>
      <c r="I8" s="28"/>
      <c r="J8" s="28"/>
      <c r="K8" s="28"/>
    </row>
    <row r="9" spans="1:11" ht="15.6" x14ac:dyDescent="0.3">
      <c r="A9" s="2">
        <v>1</v>
      </c>
      <c r="B9" s="2">
        <f>((2*(B$7))^(2*$A9))/FACT(2*$A9)*(-1)^($A9)</f>
        <v>-2.0000000000000004E-2</v>
      </c>
      <c r="C9" s="2">
        <f t="shared" ref="C9:K23" si="2">((2*(C$7))^(2*$A9))/FACT(2*$A9)*(-1)^($A9)</f>
        <v>-8.0000000000000016E-2</v>
      </c>
      <c r="D9" s="2">
        <f t="shared" si="2"/>
        <v>-0.18000000000000005</v>
      </c>
      <c r="E9" s="2">
        <f t="shared" si="2"/>
        <v>-0.32000000000000006</v>
      </c>
      <c r="F9" s="2">
        <f t="shared" si="2"/>
        <v>-0.5</v>
      </c>
      <c r="G9" s="2">
        <f t="shared" si="2"/>
        <v>-0.72</v>
      </c>
      <c r="H9" s="2">
        <f t="shared" si="2"/>
        <v>-0.97999999999999987</v>
      </c>
      <c r="I9" s="2">
        <f t="shared" si="2"/>
        <v>-1.2799999999999998</v>
      </c>
      <c r="J9" s="2">
        <f t="shared" si="2"/>
        <v>-1.6199999999999997</v>
      </c>
      <c r="K9" s="2">
        <f t="shared" si="2"/>
        <v>-1.9999999999999996</v>
      </c>
    </row>
    <row r="10" spans="1:11" ht="15.6" x14ac:dyDescent="0.3">
      <c r="A10" s="2">
        <f>A9+1</f>
        <v>2</v>
      </c>
      <c r="B10" s="2">
        <f t="shared" ref="B10:B23" si="3">((2*(B$7))^(2*$A10))/FACT(2*$A10)*(-1)^($A10)</f>
        <v>6.6666666666666697E-5</v>
      </c>
      <c r="C10" s="2">
        <f t="shared" si="2"/>
        <v>1.0666666666666672E-3</v>
      </c>
      <c r="D10" s="2">
        <f t="shared" si="2"/>
        <v>5.4000000000000029E-3</v>
      </c>
      <c r="E10" s="2">
        <f t="shared" si="2"/>
        <v>1.7066666666666674E-2</v>
      </c>
      <c r="F10" s="2">
        <f t="shared" si="2"/>
        <v>4.1666666666666664E-2</v>
      </c>
      <c r="G10" s="2">
        <f t="shared" si="2"/>
        <v>8.6399999999999991E-2</v>
      </c>
      <c r="H10" s="2">
        <f t="shared" si="2"/>
        <v>0.16006666666666661</v>
      </c>
      <c r="I10" s="2">
        <f t="shared" si="2"/>
        <v>0.27306666666666657</v>
      </c>
      <c r="J10" s="2">
        <f t="shared" si="2"/>
        <v>0.43739999999999979</v>
      </c>
      <c r="K10" s="2">
        <f t="shared" si="2"/>
        <v>0.66666666666666641</v>
      </c>
    </row>
    <row r="11" spans="1:11" ht="15.6" x14ac:dyDescent="0.3">
      <c r="A11" s="2">
        <f t="shared" ref="A11:A23" si="4">A10+1</f>
        <v>3</v>
      </c>
      <c r="B11" s="2">
        <f t="shared" si="3"/>
        <v>-8.8888888888888935E-8</v>
      </c>
      <c r="C11" s="2">
        <f t="shared" si="2"/>
        <v>-5.6888888888888918E-6</v>
      </c>
      <c r="D11" s="2">
        <f t="shared" si="2"/>
        <v>-6.4800000000000057E-5</v>
      </c>
      <c r="E11" s="2">
        <f t="shared" si="2"/>
        <v>-3.6408888888888908E-4</v>
      </c>
      <c r="F11" s="2">
        <f t="shared" si="2"/>
        <v>-1.3888888888888889E-3</v>
      </c>
      <c r="G11" s="2">
        <f t="shared" si="2"/>
        <v>-4.1471999999999993E-3</v>
      </c>
      <c r="H11" s="2">
        <f t="shared" si="2"/>
        <v>-1.0457688888888884E-2</v>
      </c>
      <c r="I11" s="2">
        <f t="shared" si="2"/>
        <v>-2.3301688888888877E-2</v>
      </c>
      <c r="J11" s="2">
        <f t="shared" si="2"/>
        <v>-4.7239199999999967E-2</v>
      </c>
      <c r="K11" s="2">
        <f t="shared" si="2"/>
        <v>-8.8888888888888823E-2</v>
      </c>
    </row>
    <row r="12" spans="1:11" ht="15.6" x14ac:dyDescent="0.3">
      <c r="A12" s="2">
        <f t="shared" si="4"/>
        <v>4</v>
      </c>
      <c r="B12" s="2">
        <f t="shared" si="3"/>
        <v>6.3492063492063549E-11</v>
      </c>
      <c r="C12" s="2">
        <f t="shared" si="2"/>
        <v>1.6253968253968268E-8</v>
      </c>
      <c r="D12" s="2">
        <f t="shared" si="2"/>
        <v>4.1657142857142904E-7</v>
      </c>
      <c r="E12" s="2">
        <f t="shared" si="2"/>
        <v>4.1610158730158767E-6</v>
      </c>
      <c r="F12" s="2">
        <f t="shared" si="2"/>
        <v>2.4801587301587302E-5</v>
      </c>
      <c r="G12" s="2">
        <f t="shared" si="2"/>
        <v>1.066422857142857E-4</v>
      </c>
      <c r="H12" s="2">
        <f t="shared" si="2"/>
        <v>3.6601911111111091E-4</v>
      </c>
      <c r="I12" s="2">
        <f t="shared" si="2"/>
        <v>1.0652200634920627E-3</v>
      </c>
      <c r="J12" s="2">
        <f t="shared" si="2"/>
        <v>2.7331251428571405E-3</v>
      </c>
      <c r="K12" s="2">
        <f t="shared" si="2"/>
        <v>6.349206349206344E-3</v>
      </c>
    </row>
    <row r="13" spans="1:11" ht="15.6" x14ac:dyDescent="0.3">
      <c r="A13" s="2">
        <f t="shared" si="4"/>
        <v>5</v>
      </c>
      <c r="B13" s="2">
        <f t="shared" si="3"/>
        <v>-2.8218694885361582E-14</v>
      </c>
      <c r="C13" s="2">
        <f t="shared" si="2"/>
        <v>-2.889594356261026E-11</v>
      </c>
      <c r="D13" s="2">
        <f t="shared" si="2"/>
        <v>-1.6662857142857164E-9</v>
      </c>
      <c r="E13" s="2">
        <f t="shared" si="2"/>
        <v>-2.9589446208112906E-8</v>
      </c>
      <c r="F13" s="2">
        <f t="shared" si="2"/>
        <v>-2.7557319223985888E-7</v>
      </c>
      <c r="G13" s="2">
        <f t="shared" si="2"/>
        <v>-1.7062765714285713E-6</v>
      </c>
      <c r="H13" s="2">
        <f t="shared" si="2"/>
        <v>-7.9710828641975259E-6</v>
      </c>
      <c r="I13" s="2">
        <f t="shared" si="2"/>
        <v>-3.0299592917107561E-5</v>
      </c>
      <c r="J13" s="2">
        <f t="shared" si="2"/>
        <v>-9.839250514285703E-5</v>
      </c>
      <c r="K13" s="2">
        <f t="shared" si="2"/>
        <v>-2.8218694885361522E-4</v>
      </c>
    </row>
    <row r="14" spans="1:11" ht="15.6" x14ac:dyDescent="0.3">
      <c r="A14" s="2">
        <f t="shared" si="4"/>
        <v>6</v>
      </c>
      <c r="B14" s="2">
        <f t="shared" si="3"/>
        <v>8.5511196622307855E-18</v>
      </c>
      <c r="C14" s="2">
        <f t="shared" si="2"/>
        <v>3.5025386136497298E-14</v>
      </c>
      <c r="D14" s="2">
        <f t="shared" si="2"/>
        <v>4.5444155844155925E-12</v>
      </c>
      <c r="E14" s="2">
        <f t="shared" si="2"/>
        <v>1.4346398161509293E-10</v>
      </c>
      <c r="F14" s="2">
        <f t="shared" si="2"/>
        <v>2.08767569878681E-9</v>
      </c>
      <c r="G14" s="2">
        <f t="shared" si="2"/>
        <v>1.8613926233766231E-8</v>
      </c>
      <c r="H14" s="2">
        <f t="shared" si="2"/>
        <v>1.1835850313505413E-7</v>
      </c>
      <c r="I14" s="2">
        <f t="shared" si="2"/>
        <v>5.8762846869541916E-7</v>
      </c>
      <c r="J14" s="2">
        <f t="shared" si="2"/>
        <v>2.4150887625973993E-6</v>
      </c>
      <c r="K14" s="2">
        <f t="shared" si="2"/>
        <v>8.551119662230762E-6</v>
      </c>
    </row>
    <row r="15" spans="1:11" ht="15.6" x14ac:dyDescent="0.3">
      <c r="A15" s="2">
        <f t="shared" si="4"/>
        <v>7</v>
      </c>
      <c r="B15" s="2">
        <f t="shared" si="3"/>
        <v>-1.8793669587320406E-21</v>
      </c>
      <c r="C15" s="2">
        <f t="shared" si="2"/>
        <v>-3.0791548251865753E-17</v>
      </c>
      <c r="D15" s="2">
        <f t="shared" si="2"/>
        <v>-8.9889539032396344E-15</v>
      </c>
      <c r="E15" s="2">
        <f t="shared" si="2"/>
        <v>-5.044887265585685E-13</v>
      </c>
      <c r="F15" s="2">
        <f t="shared" si="2"/>
        <v>-1.1470745597729725E-11</v>
      </c>
      <c r="G15" s="2">
        <f t="shared" si="2"/>
        <v>-1.4727502075067786E-10</v>
      </c>
      <c r="H15" s="2">
        <f t="shared" si="2"/>
        <v>-1.2746300337621213E-9</v>
      </c>
      <c r="I15" s="2">
        <f t="shared" si="2"/>
        <v>-8.2655432959355664E-9</v>
      </c>
      <c r="J15" s="2">
        <f t="shared" si="2"/>
        <v>-4.2993887861624018E-8</v>
      </c>
      <c r="K15" s="2">
        <f t="shared" si="2"/>
        <v>-1.8793669587320352E-7</v>
      </c>
    </row>
    <row r="16" spans="1:11" ht="15.6" x14ac:dyDescent="0.3">
      <c r="A16" s="2">
        <f t="shared" si="4"/>
        <v>8</v>
      </c>
      <c r="B16" s="2">
        <f t="shared" si="3"/>
        <v>3.132278264553402E-25</v>
      </c>
      <c r="C16" s="2">
        <f t="shared" si="2"/>
        <v>2.0527698834577175E-20</v>
      </c>
      <c r="D16" s="2">
        <f t="shared" si="2"/>
        <v>1.3483430854859455E-17</v>
      </c>
      <c r="E16" s="2">
        <f t="shared" si="2"/>
        <v>1.3453032708228498E-15</v>
      </c>
      <c r="F16" s="2">
        <f t="shared" si="2"/>
        <v>4.7794773323873853E-14</v>
      </c>
      <c r="G16" s="2">
        <f t="shared" si="2"/>
        <v>8.83650124504067E-13</v>
      </c>
      <c r="H16" s="2">
        <f t="shared" si="2"/>
        <v>1.0409478609057323E-11</v>
      </c>
      <c r="I16" s="2">
        <f t="shared" si="2"/>
        <v>8.8165795156646023E-11</v>
      </c>
      <c r="J16" s="2">
        <f t="shared" si="2"/>
        <v>5.804174861319241E-10</v>
      </c>
      <c r="K16" s="2">
        <f t="shared" si="2"/>
        <v>3.1322782645533914E-9</v>
      </c>
    </row>
    <row r="17" spans="1:11" ht="15.6" x14ac:dyDescent="0.3">
      <c r="A17" s="2">
        <f t="shared" si="4"/>
        <v>9</v>
      </c>
      <c r="B17" s="2">
        <f t="shared" si="3"/>
        <v>-4.094481391573075E-29</v>
      </c>
      <c r="C17" s="2">
        <f t="shared" si="2"/>
        <v>-1.0733437299125322E-23</v>
      </c>
      <c r="D17" s="2">
        <f t="shared" si="2"/>
        <v>-1.5862859829246423E-20</v>
      </c>
      <c r="E17" s="2">
        <f t="shared" si="2"/>
        <v>-2.8137061873419084E-18</v>
      </c>
      <c r="F17" s="2">
        <f t="shared" si="2"/>
        <v>-1.5619206968586225E-16</v>
      </c>
      <c r="G17" s="2">
        <f t="shared" si="2"/>
        <v>-4.1583535270779625E-15</v>
      </c>
      <c r="H17" s="2">
        <f t="shared" si="2"/>
        <v>-6.6675091744288718E-14</v>
      </c>
      <c r="I17" s="2">
        <f t="shared" si="2"/>
        <v>-7.375961947745548E-13</v>
      </c>
      <c r="J17" s="2">
        <f t="shared" si="2"/>
        <v>-6.1455969119850771E-12</v>
      </c>
      <c r="K17" s="2">
        <f t="shared" si="2"/>
        <v>-4.0944813915730597E-11</v>
      </c>
    </row>
    <row r="18" spans="1:11" ht="15.6" x14ac:dyDescent="0.3">
      <c r="A18" s="2">
        <f t="shared" si="4"/>
        <v>10</v>
      </c>
      <c r="B18" s="2">
        <f t="shared" si="3"/>
        <v>4.3099804121821862E-33</v>
      </c>
      <c r="C18" s="2">
        <f t="shared" si="2"/>
        <v>4.5193420206843481E-27</v>
      </c>
      <c r="D18" s="2">
        <f t="shared" si="2"/>
        <v>1.5027972469812406E-23</v>
      </c>
      <c r="E18" s="2">
        <f t="shared" si="2"/>
        <v>4.738873578681111E-21</v>
      </c>
      <c r="F18" s="2">
        <f t="shared" si="2"/>
        <v>4.1103176233121648E-19</v>
      </c>
      <c r="G18" s="2">
        <f t="shared" si="2"/>
        <v>1.5757971260505964E-17</v>
      </c>
      <c r="H18" s="2">
        <f t="shared" si="2"/>
        <v>3.4390310478633127E-16</v>
      </c>
      <c r="I18" s="2">
        <f t="shared" si="2"/>
        <v>4.9690691016391057E-15</v>
      </c>
      <c r="J18" s="2">
        <f t="shared" si="2"/>
        <v>5.2399299986399069E-14</v>
      </c>
      <c r="K18" s="2">
        <f t="shared" si="2"/>
        <v>4.309980412182167E-13</v>
      </c>
    </row>
    <row r="19" spans="1:11" ht="15.6" x14ac:dyDescent="0.3">
      <c r="A19" s="2">
        <f t="shared" si="4"/>
        <v>11</v>
      </c>
      <c r="B19" s="2">
        <f t="shared" si="3"/>
        <v>-3.7315847724521095E-37</v>
      </c>
      <c r="C19" s="2">
        <f t="shared" si="2"/>
        <v>-1.5651400937434973E-30</v>
      </c>
      <c r="D19" s="2">
        <f t="shared" si="2"/>
        <v>-1.1710108418035642E-26</v>
      </c>
      <c r="E19" s="2">
        <f t="shared" si="2"/>
        <v>-6.5646733557487256E-24</v>
      </c>
      <c r="F19" s="2">
        <f t="shared" si="2"/>
        <v>-8.8967913924505741E-22</v>
      </c>
      <c r="G19" s="2">
        <f t="shared" si="2"/>
        <v>-4.9115754578200397E-20</v>
      </c>
      <c r="H19" s="2">
        <f t="shared" si="2"/>
        <v>-1.458982868790496E-18</v>
      </c>
      <c r="I19" s="2">
        <f t="shared" si="2"/>
        <v>-2.7534235714710192E-17</v>
      </c>
      <c r="J19" s="2">
        <f t="shared" si="2"/>
        <v>-3.6747561029422713E-16</v>
      </c>
      <c r="K19" s="2">
        <f t="shared" si="2"/>
        <v>-3.7315847724520918E-15</v>
      </c>
    </row>
    <row r="20" spans="1:11" ht="15.6" x14ac:dyDescent="0.3">
      <c r="A20" s="2">
        <f t="shared" si="4"/>
        <v>12</v>
      </c>
      <c r="B20" s="2">
        <f t="shared" si="3"/>
        <v>2.7040469365595005E-41</v>
      </c>
      <c r="C20" s="2">
        <f t="shared" si="2"/>
        <v>4.5366379528797037E-34</v>
      </c>
      <c r="D20" s="2">
        <f t="shared" si="2"/>
        <v>7.6370272291536816E-30</v>
      </c>
      <c r="E20" s="2">
        <f t="shared" si="2"/>
        <v>7.611215484926061E-27</v>
      </c>
      <c r="F20" s="2">
        <f t="shared" si="2"/>
        <v>1.6117375710961184E-24</v>
      </c>
      <c r="G20" s="2">
        <f t="shared" si="2"/>
        <v>1.2812805542139234E-22</v>
      </c>
      <c r="H20" s="2">
        <f t="shared" si="2"/>
        <v>5.1804464181691519E-21</v>
      </c>
      <c r="I20" s="2">
        <f t="shared" si="2"/>
        <v>1.2769500621314869E-19</v>
      </c>
      <c r="J20" s="2">
        <f t="shared" si="2"/>
        <v>2.156922060422637E-18</v>
      </c>
      <c r="K20" s="2">
        <f t="shared" si="2"/>
        <v>2.7040469365594864E-17</v>
      </c>
    </row>
    <row r="21" spans="1:11" ht="15.6" x14ac:dyDescent="0.3">
      <c r="A21" s="2">
        <f t="shared" si="4"/>
        <v>13</v>
      </c>
      <c r="B21" s="2">
        <f t="shared" si="3"/>
        <v>-1.6640288840366155E-45</v>
      </c>
      <c r="C21" s="2">
        <f t="shared" si="2"/>
        <v>-1.11671088070885E-37</v>
      </c>
      <c r="D21" s="2">
        <f t="shared" si="2"/>
        <v>-4.2297381576851161E-33</v>
      </c>
      <c r="E21" s="2">
        <f t="shared" si="2"/>
        <v>-7.4941198620810438E-30</v>
      </c>
      <c r="F21" s="2">
        <f t="shared" si="2"/>
        <v>-2.4795962632247969E-27</v>
      </c>
      <c r="G21" s="2">
        <f t="shared" si="2"/>
        <v>-2.8385292277969991E-25</v>
      </c>
      <c r="H21" s="2">
        <f t="shared" si="2"/>
        <v>-1.5621038430171591E-23</v>
      </c>
      <c r="I21" s="2">
        <f t="shared" si="2"/>
        <v>-5.0292187062409317E-22</v>
      </c>
      <c r="J21" s="2">
        <f t="shared" si="2"/>
        <v>-1.0751426885798988E-20</v>
      </c>
      <c r="K21" s="2">
        <f t="shared" si="2"/>
        <v>-1.6640288840366061E-19</v>
      </c>
    </row>
    <row r="22" spans="1:11" ht="15.6" x14ac:dyDescent="0.3">
      <c r="A22" s="2">
        <f t="shared" si="4"/>
        <v>14</v>
      </c>
      <c r="B22" s="2">
        <f t="shared" si="3"/>
        <v>8.804385629823369E-50</v>
      </c>
      <c r="C22" s="2">
        <f t="shared" si="2"/>
        <v>2.3634092713414833E-41</v>
      </c>
      <c r="D22" s="2">
        <f t="shared" si="2"/>
        <v>2.0141610274691048E-36</v>
      </c>
      <c r="E22" s="2">
        <f t="shared" si="2"/>
        <v>6.3442284546717879E-33</v>
      </c>
      <c r="F22" s="2">
        <f t="shared" si="2"/>
        <v>3.2798892370698385E-30</v>
      </c>
      <c r="G22" s="2">
        <f t="shared" si="2"/>
        <v>5.4067223386609526E-28</v>
      </c>
      <c r="H22" s="2">
        <f t="shared" si="2"/>
        <v>4.0498988522667095E-26</v>
      </c>
      <c r="I22" s="2">
        <f t="shared" si="2"/>
        <v>1.7030158581979875E-24</v>
      </c>
      <c r="J22" s="2">
        <f t="shared" si="2"/>
        <v>4.6077543796281379E-23</v>
      </c>
      <c r="K22" s="2">
        <f t="shared" si="2"/>
        <v>8.8043856298233156E-22</v>
      </c>
    </row>
    <row r="23" spans="1:11" ht="16.2" thickBot="1" x14ac:dyDescent="0.35">
      <c r="A23" s="2">
        <f t="shared" si="4"/>
        <v>15</v>
      </c>
      <c r="B23" s="2">
        <f t="shared" si="3"/>
        <v>-4.0479933930222371E-54</v>
      </c>
      <c r="C23" s="2">
        <f t="shared" si="2"/>
        <v>-4.3464998093636458E-45</v>
      </c>
      <c r="D23" s="2">
        <f t="shared" si="2"/>
        <v>-8.3344594240100868E-40</v>
      </c>
      <c r="E23" s="2">
        <f t="shared" si="2"/>
        <v>-4.6670186333217733E-36</v>
      </c>
      <c r="F23" s="2">
        <f t="shared" si="2"/>
        <v>-3.7699876288159047E-33</v>
      </c>
      <c r="G23" s="2">
        <f t="shared" si="2"/>
        <v>-8.949057663990538E-31</v>
      </c>
      <c r="H23" s="2">
        <f t="shared" si="2"/>
        <v>-9.1239100579801684E-29</v>
      </c>
      <c r="I23" s="2">
        <f t="shared" si="2"/>
        <v>-5.0111730999848808E-27</v>
      </c>
      <c r="J23" s="2">
        <f t="shared" si="2"/>
        <v>-1.7159912862063397E-25</v>
      </c>
      <c r="K23" s="2">
        <f t="shared" si="2"/>
        <v>-4.0479933930222112E-24</v>
      </c>
    </row>
    <row r="24" spans="1:11" ht="16.2" thickBot="1" x14ac:dyDescent="0.35">
      <c r="A24" s="11" t="s">
        <v>2</v>
      </c>
      <c r="B24" s="10">
        <f t="shared" ref="B24:K24" si="5">SUM(B9:B23)</f>
        <v>-1.9933422158758374E-2</v>
      </c>
      <c r="C24" s="10">
        <f t="shared" si="5"/>
        <v>-7.8939005997114925E-2</v>
      </c>
      <c r="D24" s="10">
        <f t="shared" si="5"/>
        <v>-0.17466438509032176</v>
      </c>
      <c r="E24" s="10">
        <f t="shared" si="5"/>
        <v>-0.30329329065283467</v>
      </c>
      <c r="F24" s="10">
        <f t="shared" si="5"/>
        <v>-0.45969769413186029</v>
      </c>
      <c r="G24" s="10">
        <f t="shared" si="5"/>
        <v>-0.63764224552332627</v>
      </c>
      <c r="H24" s="10">
        <f t="shared" si="5"/>
        <v>-0.83003285709975916</v>
      </c>
      <c r="I24" s="10">
        <f t="shared" si="5"/>
        <v>-1.0291995223012889</v>
      </c>
      <c r="J24" s="10">
        <f t="shared" si="5"/>
        <v>-1.2272020946930868</v>
      </c>
      <c r="K24" s="10">
        <f t="shared" si="5"/>
        <v>-1.4161468365471424</v>
      </c>
    </row>
    <row r="25" spans="1:11" ht="16.2" thickBot="1" x14ac:dyDescent="0.35">
      <c r="A25" s="11" t="s">
        <v>3</v>
      </c>
      <c r="B25" s="10">
        <f>2*(COS(B$7)^2 -1)</f>
        <v>-1.9933422158758152E-2</v>
      </c>
      <c r="C25" s="10">
        <f t="shared" ref="C25:K25" si="6">2*(COS(C$7)^2 -1)</f>
        <v>-7.8939005997114897E-2</v>
      </c>
      <c r="D25" s="10">
        <f t="shared" si="6"/>
        <v>-0.17466438509032178</v>
      </c>
      <c r="E25" s="10">
        <f t="shared" si="6"/>
        <v>-0.3032932906528345</v>
      </c>
      <c r="F25" s="10">
        <f t="shared" si="6"/>
        <v>-0.45969769413186023</v>
      </c>
      <c r="G25" s="10">
        <f t="shared" si="6"/>
        <v>-0.63764224552332638</v>
      </c>
      <c r="H25" s="10">
        <f t="shared" si="6"/>
        <v>-0.83003285709975883</v>
      </c>
      <c r="I25" s="10">
        <f t="shared" si="6"/>
        <v>-1.0291995223012886</v>
      </c>
      <c r="J25" s="10">
        <f t="shared" si="6"/>
        <v>-1.2272020946930868</v>
      </c>
      <c r="K25" s="10">
        <f t="shared" si="6"/>
        <v>-1.4161468365471421</v>
      </c>
    </row>
  </sheetData>
  <mergeCells count="15">
    <mergeCell ref="K7:K8"/>
    <mergeCell ref="B5:C5"/>
    <mergeCell ref="A1:B1"/>
    <mergeCell ref="A2:J2"/>
    <mergeCell ref="B3:E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conditionalFormatting sqref="B9:K25">
    <cfRule type="cellIs" dxfId="24" priority="2" operator="greaterThan">
      <formula>1.5</formula>
    </cfRule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J50"/>
  <sheetViews>
    <sheetView zoomScale="89" workbookViewId="0">
      <selection activeCell="C13" sqref="C13"/>
    </sheetView>
  </sheetViews>
  <sheetFormatPr defaultRowHeight="14.4" x14ac:dyDescent="0.3"/>
  <sheetData>
    <row r="1" spans="1:10" ht="15.6" x14ac:dyDescent="0.3">
      <c r="A1" s="21" t="s">
        <v>9</v>
      </c>
      <c r="B1" s="21"/>
      <c r="C1" s="1"/>
      <c r="D1" s="1"/>
      <c r="E1" s="1"/>
      <c r="F1" s="1"/>
      <c r="G1" s="1"/>
      <c r="H1" s="1"/>
      <c r="I1" s="1"/>
      <c r="J1" s="1"/>
    </row>
    <row r="2" spans="1:10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.6" x14ac:dyDescent="0.3">
      <c r="A3" s="1"/>
      <c r="B3" s="20"/>
      <c r="C3" s="20"/>
      <c r="D3" s="20"/>
      <c r="E3" s="12"/>
      <c r="F3" s="1"/>
      <c r="G3" s="1"/>
      <c r="H3" s="1"/>
      <c r="I3" s="1"/>
      <c r="J3" s="1"/>
    </row>
    <row r="4" spans="1:10" ht="15.6" x14ac:dyDescent="0.3">
      <c r="A4" s="1"/>
      <c r="B4" s="20"/>
      <c r="C4" s="20"/>
      <c r="D4" s="20"/>
      <c r="E4" s="12"/>
      <c r="F4" s="1"/>
      <c r="G4" s="1"/>
      <c r="H4" s="1"/>
      <c r="I4" s="1"/>
      <c r="J4" s="1"/>
    </row>
    <row r="5" spans="1:10" ht="15.6" x14ac:dyDescent="0.3">
      <c r="A5" s="1"/>
      <c r="B5" s="20"/>
      <c r="C5" s="20"/>
      <c r="D5" s="12"/>
      <c r="E5" s="1"/>
      <c r="F5" s="1"/>
      <c r="G5" s="1"/>
      <c r="H5" s="1"/>
      <c r="I5" s="1"/>
      <c r="J5" s="1"/>
    </row>
    <row r="6" spans="1:10" ht="16.2" thickBot="1" x14ac:dyDescent="0.35">
      <c r="A6" s="1"/>
      <c r="B6" s="13"/>
      <c r="C6" s="13"/>
      <c r="D6" s="13"/>
      <c r="E6" s="1"/>
      <c r="F6" s="1"/>
      <c r="G6" s="1"/>
      <c r="H6" s="1"/>
      <c r="I6" s="1"/>
      <c r="J6" s="1"/>
    </row>
    <row r="7" spans="1:10" ht="14.4" customHeight="1" x14ac:dyDescent="0.3">
      <c r="A7" s="23" t="s">
        <v>20</v>
      </c>
      <c r="B7" s="25">
        <v>0.1</v>
      </c>
      <c r="C7" s="27">
        <f>B7+0.1</f>
        <v>0.2</v>
      </c>
      <c r="D7" s="27">
        <f t="shared" ref="D7:J7" si="0">C7+0.1</f>
        <v>0.30000000000000004</v>
      </c>
      <c r="E7" s="27">
        <f t="shared" si="0"/>
        <v>0.4</v>
      </c>
      <c r="F7" s="27">
        <f t="shared" si="0"/>
        <v>0.5</v>
      </c>
      <c r="G7" s="27">
        <f t="shared" si="0"/>
        <v>0.6</v>
      </c>
      <c r="H7" s="27">
        <f t="shared" si="0"/>
        <v>0.7</v>
      </c>
      <c r="I7" s="27">
        <f t="shared" si="0"/>
        <v>0.79999999999999993</v>
      </c>
      <c r="J7" s="27">
        <f t="shared" si="0"/>
        <v>0.89999999999999991</v>
      </c>
    </row>
    <row r="8" spans="1:10" ht="15" customHeight="1" thickBot="1" x14ac:dyDescent="0.35">
      <c r="A8" s="24"/>
      <c r="B8" s="26"/>
      <c r="C8" s="28"/>
      <c r="D8" s="28"/>
      <c r="E8" s="28"/>
      <c r="F8" s="28"/>
      <c r="G8" s="28"/>
      <c r="H8" s="28"/>
      <c r="I8" s="28"/>
      <c r="J8" s="28"/>
    </row>
    <row r="9" spans="1:10" ht="15.6" x14ac:dyDescent="0.3">
      <c r="A9" s="2">
        <v>1</v>
      </c>
      <c r="B9" s="2">
        <f>((-1)^($A9+1))*(B$7^(1+($A9-1)*2))/(1+($A9-1)*2)</f>
        <v>0.1</v>
      </c>
      <c r="C9" s="2">
        <f t="shared" ref="C9:J24" si="1">((-1)^($A9+1))*(C$7^(1+($A9-1)*2))/(1+($A9-1)*2)</f>
        <v>0.2</v>
      </c>
      <c r="D9" s="2">
        <f t="shared" si="1"/>
        <v>0.30000000000000004</v>
      </c>
      <c r="E9" s="2">
        <f t="shared" si="1"/>
        <v>0.4</v>
      </c>
      <c r="F9" s="2">
        <f t="shared" si="1"/>
        <v>0.5</v>
      </c>
      <c r="G9" s="2">
        <f t="shared" si="1"/>
        <v>0.6</v>
      </c>
      <c r="H9" s="2">
        <f t="shared" si="1"/>
        <v>0.7</v>
      </c>
      <c r="I9" s="2">
        <f t="shared" si="1"/>
        <v>0.79999999999999993</v>
      </c>
      <c r="J9" s="2">
        <f t="shared" si="1"/>
        <v>0.89999999999999991</v>
      </c>
    </row>
    <row r="10" spans="1:10" ht="15.6" x14ac:dyDescent="0.3">
      <c r="A10" s="2">
        <f>A9+1</f>
        <v>2</v>
      </c>
      <c r="B10" s="2">
        <f t="shared" ref="B10:J25" si="2">((-1)^($A10+1))*(B$7^(1+($A10-1)*2))/(1+($A10-1)*2)</f>
        <v>-3.3333333333333343E-4</v>
      </c>
      <c r="C10" s="2">
        <f t="shared" si="1"/>
        <v>-2.6666666666666674E-3</v>
      </c>
      <c r="D10" s="2">
        <f t="shared" si="1"/>
        <v>-9.0000000000000028E-3</v>
      </c>
      <c r="E10" s="2">
        <f t="shared" si="1"/>
        <v>-2.133333333333334E-2</v>
      </c>
      <c r="F10" s="2">
        <f t="shared" si="1"/>
        <v>-4.1666666666666664E-2</v>
      </c>
      <c r="G10" s="2">
        <f t="shared" si="1"/>
        <v>-7.1999999999999995E-2</v>
      </c>
      <c r="H10" s="2">
        <f t="shared" si="1"/>
        <v>-0.1143333333333333</v>
      </c>
      <c r="I10" s="2">
        <f t="shared" si="1"/>
        <v>-0.17066666666666663</v>
      </c>
      <c r="J10" s="2">
        <f t="shared" si="1"/>
        <v>-0.24299999999999991</v>
      </c>
    </row>
    <row r="11" spans="1:10" ht="15.6" x14ac:dyDescent="0.3">
      <c r="A11" s="2">
        <f t="shared" ref="A11:A48" si="3">A10+1</f>
        <v>3</v>
      </c>
      <c r="B11" s="2">
        <f t="shared" si="2"/>
        <v>2.0000000000000012E-6</v>
      </c>
      <c r="C11" s="2">
        <f t="shared" si="1"/>
        <v>6.4000000000000038E-5</v>
      </c>
      <c r="D11" s="2">
        <f t="shared" si="1"/>
        <v>4.8600000000000032E-4</v>
      </c>
      <c r="E11" s="2">
        <f t="shared" si="1"/>
        <v>2.0480000000000012E-3</v>
      </c>
      <c r="F11" s="2">
        <f t="shared" si="1"/>
        <v>6.2500000000000003E-3</v>
      </c>
      <c r="G11" s="2">
        <f t="shared" si="1"/>
        <v>1.5552E-2</v>
      </c>
      <c r="H11" s="2">
        <f t="shared" si="1"/>
        <v>3.3613999999999991E-2</v>
      </c>
      <c r="I11" s="2">
        <f t="shared" si="1"/>
        <v>6.5535999999999969E-2</v>
      </c>
      <c r="J11" s="2">
        <f t="shared" si="1"/>
        <v>0.11809799999999993</v>
      </c>
    </row>
    <row r="12" spans="1:10" ht="15.6" x14ac:dyDescent="0.3">
      <c r="A12" s="2">
        <f t="shared" si="3"/>
        <v>4</v>
      </c>
      <c r="B12" s="2">
        <f t="shared" si="2"/>
        <v>-1.4285714285714296E-8</v>
      </c>
      <c r="C12" s="2">
        <f t="shared" si="1"/>
        <v>-1.8285714285714299E-6</v>
      </c>
      <c r="D12" s="2">
        <f t="shared" si="1"/>
        <v>-3.1242857142857176E-5</v>
      </c>
      <c r="E12" s="2">
        <f t="shared" si="1"/>
        <v>-2.3405714285714302E-4</v>
      </c>
      <c r="F12" s="2">
        <f t="shared" si="1"/>
        <v>-1.1160714285714285E-3</v>
      </c>
      <c r="G12" s="2">
        <f t="shared" si="1"/>
        <v>-3.9990857142857142E-3</v>
      </c>
      <c r="H12" s="2">
        <f t="shared" si="1"/>
        <v>-1.1764899999999993E-2</v>
      </c>
      <c r="I12" s="2">
        <f t="shared" si="1"/>
        <v>-2.9959314285714269E-2</v>
      </c>
      <c r="J12" s="2">
        <f t="shared" si="1"/>
        <v>-6.8328128571428517E-2</v>
      </c>
    </row>
    <row r="13" spans="1:10" ht="15.6" x14ac:dyDescent="0.3">
      <c r="A13" s="2">
        <f t="shared" si="3"/>
        <v>5</v>
      </c>
      <c r="B13" s="2">
        <f t="shared" si="2"/>
        <v>1.1111111111111121E-10</v>
      </c>
      <c r="C13" s="2">
        <f t="shared" si="1"/>
        <v>5.6888888888888939E-8</v>
      </c>
      <c r="D13" s="2">
        <f t="shared" si="1"/>
        <v>2.1870000000000029E-6</v>
      </c>
      <c r="E13" s="2">
        <f t="shared" si="1"/>
        <v>2.9127111111111137E-5</v>
      </c>
      <c r="F13" s="2">
        <f t="shared" si="1"/>
        <v>2.1701388888888888E-4</v>
      </c>
      <c r="G13" s="2">
        <f t="shared" si="1"/>
        <v>1.1197439999999998E-3</v>
      </c>
      <c r="H13" s="2">
        <f t="shared" si="1"/>
        <v>4.4837341111111078E-3</v>
      </c>
      <c r="I13" s="2">
        <f t="shared" si="1"/>
        <v>1.4913080888888878E-2</v>
      </c>
      <c r="J13" s="2">
        <f t="shared" si="1"/>
        <v>4.3046720999999954E-2</v>
      </c>
    </row>
    <row r="14" spans="1:10" ht="15.6" x14ac:dyDescent="0.3">
      <c r="A14" s="2">
        <f t="shared" si="3"/>
        <v>6</v>
      </c>
      <c r="B14" s="2">
        <f t="shared" si="2"/>
        <v>-9.0909090909091005E-13</v>
      </c>
      <c r="C14" s="2">
        <f t="shared" si="1"/>
        <v>-1.8618181818181838E-9</v>
      </c>
      <c r="D14" s="2">
        <f t="shared" si="1"/>
        <v>-1.6104272727272752E-7</v>
      </c>
      <c r="E14" s="2">
        <f t="shared" si="1"/>
        <v>-3.8130036363636404E-6</v>
      </c>
      <c r="F14" s="2">
        <f t="shared" si="1"/>
        <v>-4.4389204545454547E-5</v>
      </c>
      <c r="G14" s="2">
        <f t="shared" si="1"/>
        <v>-3.2981550545454542E-4</v>
      </c>
      <c r="H14" s="2">
        <f t="shared" si="1"/>
        <v>-1.7975697663636348E-3</v>
      </c>
      <c r="I14" s="2">
        <f t="shared" si="1"/>
        <v>-7.8090314472727207E-3</v>
      </c>
      <c r="J14" s="2">
        <f t="shared" si="1"/>
        <v>-2.8528236008181784E-2</v>
      </c>
    </row>
    <row r="15" spans="1:10" ht="15.6" x14ac:dyDescent="0.3">
      <c r="A15" s="2">
        <f t="shared" si="3"/>
        <v>7</v>
      </c>
      <c r="B15" s="2">
        <f t="shared" si="2"/>
        <v>7.6923076923077031E-15</v>
      </c>
      <c r="C15" s="2">
        <f t="shared" si="1"/>
        <v>6.3015384615384704E-11</v>
      </c>
      <c r="D15" s="2">
        <f t="shared" si="1"/>
        <v>1.2264023076923099E-8</v>
      </c>
      <c r="E15" s="2">
        <f t="shared" si="1"/>
        <v>5.1622203076923149E-7</v>
      </c>
      <c r="F15" s="2">
        <f t="shared" si="1"/>
        <v>9.390024038461539E-6</v>
      </c>
      <c r="G15" s="2">
        <f t="shared" si="1"/>
        <v>1.0046687704615382E-4</v>
      </c>
      <c r="H15" s="2">
        <f t="shared" si="1"/>
        <v>7.4530008005384534E-4</v>
      </c>
      <c r="I15" s="2">
        <f t="shared" si="1"/>
        <v>4.228890876061534E-3</v>
      </c>
      <c r="J15" s="2">
        <f t="shared" si="1"/>
        <v>1.95528140640692E-2</v>
      </c>
    </row>
    <row r="16" spans="1:10" ht="15.6" x14ac:dyDescent="0.3">
      <c r="A16" s="2">
        <f t="shared" si="3"/>
        <v>8</v>
      </c>
      <c r="B16" s="2">
        <f t="shared" si="2"/>
        <v>-6.666666666666678E-17</v>
      </c>
      <c r="C16" s="2">
        <f t="shared" si="1"/>
        <v>-2.1845333333333371E-12</v>
      </c>
      <c r="D16" s="2">
        <f t="shared" si="1"/>
        <v>-9.5659380000000194E-10</v>
      </c>
      <c r="E16" s="2">
        <f t="shared" si="1"/>
        <v>-7.1582788266666789E-8</v>
      </c>
      <c r="F16" s="2">
        <f t="shared" si="1"/>
        <v>-2.0345052083333333E-6</v>
      </c>
      <c r="G16" s="2">
        <f t="shared" si="1"/>
        <v>-3.1345665638399996E-5</v>
      </c>
      <c r="H16" s="2">
        <f t="shared" si="1"/>
        <v>-3.1650410066286628E-4</v>
      </c>
      <c r="I16" s="2">
        <f t="shared" si="1"/>
        <v>-2.3456248059221304E-3</v>
      </c>
      <c r="J16" s="2">
        <f t="shared" si="1"/>
        <v>-1.3726075472976577E-2</v>
      </c>
    </row>
    <row r="17" spans="1:10" ht="15.6" x14ac:dyDescent="0.3">
      <c r="A17" s="2">
        <f t="shared" si="3"/>
        <v>9</v>
      </c>
      <c r="B17" s="2">
        <f t="shared" si="2"/>
        <v>5.8823529411764808E-19</v>
      </c>
      <c r="C17" s="2">
        <f t="shared" si="1"/>
        <v>7.7101176470588369E-14</v>
      </c>
      <c r="D17" s="2">
        <f t="shared" si="1"/>
        <v>7.5964801764706066E-11</v>
      </c>
      <c r="E17" s="2">
        <f t="shared" si="1"/>
        <v>1.0105805402352959E-8</v>
      </c>
      <c r="F17" s="2">
        <f t="shared" si="1"/>
        <v>4.4878791360294117E-7</v>
      </c>
      <c r="G17" s="2">
        <f t="shared" si="1"/>
        <v>9.9568584969035264E-6</v>
      </c>
      <c r="H17" s="2">
        <f t="shared" si="1"/>
        <v>1.3684147881600395E-4</v>
      </c>
      <c r="I17" s="2">
        <f t="shared" si="1"/>
        <v>1.3245881256972029E-3</v>
      </c>
      <c r="J17" s="2">
        <f t="shared" si="1"/>
        <v>9.8101068821567858E-3</v>
      </c>
    </row>
    <row r="18" spans="1:10" ht="15.6" x14ac:dyDescent="0.3">
      <c r="A18" s="2">
        <f t="shared" si="3"/>
        <v>10</v>
      </c>
      <c r="B18" s="2">
        <f t="shared" si="2"/>
        <v>-5.263157894736852E-21</v>
      </c>
      <c r="C18" s="2">
        <f t="shared" si="1"/>
        <v>-2.7594105263157947E-15</v>
      </c>
      <c r="D18" s="2">
        <f t="shared" si="1"/>
        <v>-6.1171656157894895E-12</v>
      </c>
      <c r="E18" s="2">
        <f t="shared" si="1"/>
        <v>-1.4467258260210553E-9</v>
      </c>
      <c r="F18" s="2">
        <f t="shared" si="1"/>
        <v>-1.0038677014802631E-7</v>
      </c>
      <c r="G18" s="2">
        <f t="shared" si="1"/>
        <v>-3.2071565263710305E-6</v>
      </c>
      <c r="H18" s="2">
        <f t="shared" si="1"/>
        <v>-5.9994185186174353E-5</v>
      </c>
      <c r="I18" s="2">
        <f t="shared" si="1"/>
        <v>-7.5850098987292457E-4</v>
      </c>
      <c r="J18" s="2">
        <f t="shared" si="1"/>
        <v>-7.1097458824894155E-3</v>
      </c>
    </row>
    <row r="19" spans="1:10" ht="15.6" x14ac:dyDescent="0.3">
      <c r="A19" s="2">
        <f t="shared" si="3"/>
        <v>11</v>
      </c>
      <c r="B19" s="2">
        <f t="shared" si="2"/>
        <v>4.7619047619047734E-23</v>
      </c>
      <c r="C19" s="2">
        <f t="shared" si="1"/>
        <v>9.9864380952381193E-17</v>
      </c>
      <c r="D19" s="2">
        <f t="shared" si="1"/>
        <v>4.9811205728571571E-13</v>
      </c>
      <c r="E19" s="2">
        <f t="shared" si="1"/>
        <v>2.0943078624304812E-10</v>
      </c>
      <c r="F19" s="2">
        <f t="shared" si="1"/>
        <v>2.2706531343005951E-8</v>
      </c>
      <c r="G19" s="2">
        <f t="shared" si="1"/>
        <v>1.0446166971608499E-6</v>
      </c>
      <c r="H19" s="2">
        <f t="shared" si="1"/>
        <v>2.6597422099203961E-5</v>
      </c>
      <c r="I19" s="2">
        <f t="shared" si="1"/>
        <v>4.3920819223117912E-4</v>
      </c>
      <c r="J19" s="2">
        <f t="shared" si="1"/>
        <v>5.2104280538815273E-3</v>
      </c>
    </row>
    <row r="20" spans="1:10" ht="15.6" x14ac:dyDescent="0.3">
      <c r="A20" s="2">
        <f t="shared" si="3"/>
        <v>12</v>
      </c>
      <c r="B20" s="2">
        <f t="shared" si="2"/>
        <v>-4.3478260869565326E-25</v>
      </c>
      <c r="C20" s="2">
        <f t="shared" si="1"/>
        <v>-3.6472208695652265E-18</v>
      </c>
      <c r="D20" s="2">
        <f t="shared" si="1"/>
        <v>-4.0931816881304476E-14</v>
      </c>
      <c r="E20" s="2">
        <f t="shared" si="1"/>
        <v>-3.0595106164201816E-11</v>
      </c>
      <c r="F20" s="2">
        <f t="shared" si="1"/>
        <v>-5.183012589164402E-9</v>
      </c>
      <c r="G20" s="2">
        <f t="shared" si="1"/>
        <v>-3.4336096654504451E-7</v>
      </c>
      <c r="H20" s="2">
        <f t="shared" si="1"/>
        <v>-1.189945536525255E-5</v>
      </c>
      <c r="I20" s="2">
        <f t="shared" si="1"/>
        <v>-2.5665035232987158E-4</v>
      </c>
      <c r="J20" s="2">
        <f t="shared" si="1"/>
        <v>-3.8534513563706426E-3</v>
      </c>
    </row>
    <row r="21" spans="1:10" ht="15.6" x14ac:dyDescent="0.3">
      <c r="A21" s="2">
        <f t="shared" si="3"/>
        <v>13</v>
      </c>
      <c r="B21" s="2">
        <f t="shared" si="2"/>
        <v>4.0000000000000102E-27</v>
      </c>
      <c r="C21" s="2">
        <f t="shared" si="1"/>
        <v>1.3421772800000034E-19</v>
      </c>
      <c r="D21" s="2">
        <f t="shared" si="1"/>
        <v>3.3891544377720117E-15</v>
      </c>
      <c r="E21" s="2">
        <f t="shared" si="1"/>
        <v>4.5035996273705075E-12</v>
      </c>
      <c r="F21" s="2">
        <f t="shared" si="1"/>
        <v>1.1920928955078125E-9</v>
      </c>
      <c r="G21" s="2">
        <f t="shared" si="1"/>
        <v>1.1372115211971876E-7</v>
      </c>
      <c r="H21" s="2">
        <f t="shared" si="1"/>
        <v>5.3642744786558496E-6</v>
      </c>
      <c r="I21" s="2">
        <f t="shared" si="1"/>
        <v>1.5111572745182833E-4</v>
      </c>
      <c r="J21" s="2">
        <f t="shared" si="1"/>
        <v>2.871591950767402E-3</v>
      </c>
    </row>
    <row r="22" spans="1:10" ht="15.6" x14ac:dyDescent="0.3">
      <c r="A22" s="2">
        <f t="shared" si="3"/>
        <v>14</v>
      </c>
      <c r="B22" s="2">
        <f t="shared" si="2"/>
        <v>-3.7037037037037141E-29</v>
      </c>
      <c r="C22" s="2">
        <f t="shared" si="1"/>
        <v>-4.9710269629629769E-21</v>
      </c>
      <c r="D22" s="2">
        <f t="shared" si="1"/>
        <v>-2.8242953648100103E-16</v>
      </c>
      <c r="E22" s="2">
        <f t="shared" si="1"/>
        <v>-6.6719994479563091E-13</v>
      </c>
      <c r="F22" s="2">
        <f t="shared" si="1"/>
        <v>-2.7594742951569732E-10</v>
      </c>
      <c r="G22" s="2">
        <f t="shared" si="1"/>
        <v>-3.7907050706572914E-8</v>
      </c>
      <c r="H22" s="2">
        <f t="shared" si="1"/>
        <v>-2.4337911986494133E-6</v>
      </c>
      <c r="I22" s="2">
        <f t="shared" si="1"/>
        <v>-8.9550060712194571E-5</v>
      </c>
      <c r="J22" s="2">
        <f t="shared" si="1"/>
        <v>-2.1536939630755511E-3</v>
      </c>
    </row>
    <row r="23" spans="1:10" ht="15.6" x14ac:dyDescent="0.3">
      <c r="A23" s="2">
        <f t="shared" si="3"/>
        <v>15</v>
      </c>
      <c r="B23" s="2">
        <f t="shared" si="2"/>
        <v>3.4482758620689763E-31</v>
      </c>
      <c r="C23" s="2">
        <f t="shared" si="1"/>
        <v>1.8512790068965575E-22</v>
      </c>
      <c r="D23" s="2">
        <f t="shared" si="1"/>
        <v>2.3665647367201127E-17</v>
      </c>
      <c r="E23" s="2">
        <f t="shared" si="1"/>
        <v>9.9389784879900913E-14</v>
      </c>
      <c r="F23" s="2">
        <f t="shared" si="1"/>
        <v>6.4229143076929552E-11</v>
      </c>
      <c r="G23" s="2">
        <f t="shared" si="1"/>
        <v>1.2705397685099611E-8</v>
      </c>
      <c r="H23" s="2">
        <f t="shared" si="1"/>
        <v>1.1103123295907491E-6</v>
      </c>
      <c r="I23" s="2">
        <f t="shared" si="1"/>
        <v>5.3359484451955922E-5</v>
      </c>
      <c r="J23" s="2">
        <f t="shared" si="1"/>
        <v>1.624182309395251E-3</v>
      </c>
    </row>
    <row r="24" spans="1:10" ht="15.6" x14ac:dyDescent="0.3">
      <c r="A24" s="2">
        <f t="shared" si="3"/>
        <v>16</v>
      </c>
      <c r="B24" s="2">
        <f t="shared" si="2"/>
        <v>-3.2258064516129141E-33</v>
      </c>
      <c r="C24" s="2">
        <f t="shared" si="1"/>
        <v>-6.9273666064516362E-24</v>
      </c>
      <c r="D24" s="2">
        <f t="shared" si="1"/>
        <v>-1.9924948267224179E-18</v>
      </c>
      <c r="E24" s="2">
        <f t="shared" si="1"/>
        <v>-1.487640651105614E-14</v>
      </c>
      <c r="F24" s="2">
        <f t="shared" si="1"/>
        <v>-1.502133184863675E-11</v>
      </c>
      <c r="G24" s="2">
        <f t="shared" si="1"/>
        <v>-4.2788500591109651E-9</v>
      </c>
      <c r="H24" s="2">
        <f t="shared" si="1"/>
        <v>-5.0895284527369483E-7</v>
      </c>
      <c r="I24" s="2">
        <f t="shared" si="1"/>
        <v>-3.1946839723493602E-5</v>
      </c>
      <c r="J24" s="2">
        <f t="shared" si="1"/>
        <v>-1.2307110466998209E-3</v>
      </c>
    </row>
    <row r="25" spans="1:10" ht="15.6" x14ac:dyDescent="0.3">
      <c r="A25" s="2">
        <f t="shared" si="3"/>
        <v>17</v>
      </c>
      <c r="B25" s="2">
        <f t="shared" si="2"/>
        <v>3.0303030303030406E-35</v>
      </c>
      <c r="C25" s="2">
        <f t="shared" si="2"/>
        <v>2.6030104824242513E-25</v>
      </c>
      <c r="D25" s="2">
        <f t="shared" si="2"/>
        <v>1.6845638080471354E-19</v>
      </c>
      <c r="E25" s="2">
        <f t="shared" si="2"/>
        <v>2.2359689786314684E-15</v>
      </c>
      <c r="F25" s="2">
        <f t="shared" si="2"/>
        <v>3.5277370250586308E-12</v>
      </c>
      <c r="G25" s="2">
        <f t="shared" si="2"/>
        <v>1.4470292927175262E-9</v>
      </c>
      <c r="H25" s="2">
        <f t="shared" si="2"/>
        <v>2.3427253696083109E-7</v>
      </c>
      <c r="I25" s="2">
        <f t="shared" si="2"/>
        <v>1.9206827276185241E-5</v>
      </c>
      <c r="J25" s="2">
        <f t="shared" si="2"/>
        <v>9.3645922371613606E-4</v>
      </c>
    </row>
    <row r="26" spans="1:10" ht="15.6" x14ac:dyDescent="0.3">
      <c r="A26" s="2">
        <f t="shared" si="3"/>
        <v>18</v>
      </c>
      <c r="B26" s="2">
        <f t="shared" ref="B26:J41" si="4">((-1)^($A26+1))*(B$7^(1+($A26-1)*2))/(1+($A26-1)*2)</f>
        <v>-2.8571428571428677E-37</v>
      </c>
      <c r="C26" s="2">
        <f t="shared" si="4"/>
        <v>-9.8170681051428935E-27</v>
      </c>
      <c r="D26" s="2">
        <f t="shared" si="4"/>
        <v>-1.4294727171142839E-20</v>
      </c>
      <c r="E26" s="2">
        <f t="shared" si="4"/>
        <v>-3.3731189163354733E-16</v>
      </c>
      <c r="F26" s="2">
        <f t="shared" si="4"/>
        <v>-8.3153801304953436E-13</v>
      </c>
      <c r="G26" s="2">
        <f t="shared" si="4"/>
        <v>-4.9116308564240602E-10</v>
      </c>
      <c r="H26" s="2">
        <f t="shared" si="4"/>
        <v>-1.0823391207590395E-7</v>
      </c>
      <c r="I26" s="2">
        <f t="shared" si="4"/>
        <v>-1.158994834494378E-5</v>
      </c>
      <c r="J26" s="2">
        <f t="shared" si="4"/>
        <v>-7.1518728714092307E-4</v>
      </c>
    </row>
    <row r="27" spans="1:10" ht="15.6" x14ac:dyDescent="0.3">
      <c r="A27" s="2">
        <f t="shared" si="3"/>
        <v>19</v>
      </c>
      <c r="B27" s="2">
        <f t="shared" si="4"/>
        <v>2.7027027027027135E-39</v>
      </c>
      <c r="C27" s="2">
        <f t="shared" si="4"/>
        <v>3.7145663100540689E-28</v>
      </c>
      <c r="D27" s="2">
        <f t="shared" si="4"/>
        <v>1.2169835294351337E-21</v>
      </c>
      <c r="E27" s="2">
        <f t="shared" si="4"/>
        <v>5.105261062561799E-17</v>
      </c>
      <c r="F27" s="2">
        <f t="shared" si="4"/>
        <v>1.9664750308603855E-13</v>
      </c>
      <c r="G27" s="2">
        <f t="shared" si="4"/>
        <v>1.6726094267822476E-10</v>
      </c>
      <c r="H27" s="2">
        <f t="shared" si="4"/>
        <v>5.0167880867614932E-8</v>
      </c>
      <c r="I27" s="2">
        <f t="shared" si="4"/>
        <v>7.0166173763983945E-6</v>
      </c>
      <c r="J27" s="2">
        <f t="shared" si="4"/>
        <v>5.4798809703905844E-4</v>
      </c>
    </row>
    <row r="28" spans="1:10" ht="15.6" x14ac:dyDescent="0.3">
      <c r="A28" s="2">
        <f t="shared" si="3"/>
        <v>20</v>
      </c>
      <c r="B28" s="2">
        <f t="shared" si="4"/>
        <v>-2.5641025641025746E-41</v>
      </c>
      <c r="C28" s="2">
        <f t="shared" si="4"/>
        <v>-1.4096302920205186E-29</v>
      </c>
      <c r="D28" s="2">
        <f t="shared" si="4"/>
        <v>-1.0391167059023071E-22</v>
      </c>
      <c r="E28" s="2">
        <f t="shared" si="4"/>
        <v>-7.7495244847091931E-18</v>
      </c>
      <c r="F28" s="2">
        <f t="shared" si="4"/>
        <v>-4.6640753937073241E-14</v>
      </c>
      <c r="G28" s="2">
        <f t="shared" si="4"/>
        <v>-5.7126045037793681E-11</v>
      </c>
      <c r="H28" s="2">
        <f t="shared" si="4"/>
        <v>-2.3321632823842526E-8</v>
      </c>
      <c r="I28" s="2">
        <f t="shared" si="4"/>
        <v>-4.2603461403362549E-6</v>
      </c>
      <c r="J28" s="2">
        <f t="shared" si="4"/>
        <v>-4.2110777610924566E-4</v>
      </c>
    </row>
    <row r="29" spans="1:10" ht="15.6" x14ac:dyDescent="0.3">
      <c r="A29" s="2">
        <f t="shared" si="3"/>
        <v>21</v>
      </c>
      <c r="B29" s="2">
        <f t="shared" si="4"/>
        <v>2.4390243902439131E-43</v>
      </c>
      <c r="C29" s="2">
        <f t="shared" si="4"/>
        <v>5.3634713550049014E-31</v>
      </c>
      <c r="D29" s="2">
        <f t="shared" si="4"/>
        <v>8.895852774919753E-24</v>
      </c>
      <c r="E29" s="2">
        <f t="shared" si="4"/>
        <v>1.1794398240142775E-18</v>
      </c>
      <c r="F29" s="2">
        <f t="shared" si="4"/>
        <v>1.1091398802108881E-14</v>
      </c>
      <c r="G29" s="2">
        <f t="shared" si="4"/>
        <v>1.9562187130015202E-11</v>
      </c>
      <c r="H29" s="2">
        <f t="shared" si="4"/>
        <v>1.0870156177161723E-8</v>
      </c>
      <c r="I29" s="2">
        <f t="shared" si="4"/>
        <v>2.5936156015315345E-6</v>
      </c>
      <c r="J29" s="2">
        <f t="shared" si="4"/>
        <v>3.2445840603148948E-4</v>
      </c>
    </row>
    <row r="30" spans="1:10" ht="15.6" x14ac:dyDescent="0.3">
      <c r="A30" s="2">
        <f t="shared" si="3"/>
        <v>22</v>
      </c>
      <c r="B30" s="2">
        <f t="shared" si="4"/>
        <v>-2.3255813953488477E-45</v>
      </c>
      <c r="C30" s="2">
        <f t="shared" si="4"/>
        <v>-2.0456030284204744E-32</v>
      </c>
      <c r="D30" s="2">
        <f t="shared" si="4"/>
        <v>-7.6338829626636965E-25</v>
      </c>
      <c r="E30" s="2">
        <f t="shared" si="4"/>
        <v>-1.7993314524496888E-19</v>
      </c>
      <c r="F30" s="2">
        <f t="shared" si="4"/>
        <v>-2.6438799470143262E-15</v>
      </c>
      <c r="G30" s="2">
        <f t="shared" si="4"/>
        <v>-6.7148344660238223E-12</v>
      </c>
      <c r="H30" s="2">
        <f t="shared" si="4"/>
        <v>-5.078638083701837E-9</v>
      </c>
      <c r="I30" s="2">
        <f t="shared" si="4"/>
        <v>-1.5827086833531966E-6</v>
      </c>
      <c r="J30" s="2">
        <f t="shared" si="4"/>
        <v>-2.5058752707687821E-4</v>
      </c>
    </row>
    <row r="31" spans="1:10" ht="15.6" x14ac:dyDescent="0.3">
      <c r="A31" s="2">
        <f t="shared" si="3"/>
        <v>23</v>
      </c>
      <c r="B31" s="2">
        <f t="shared" si="4"/>
        <v>2.2222222222222331E-47</v>
      </c>
      <c r="C31" s="2">
        <f t="shared" si="4"/>
        <v>7.818749353073816E-34</v>
      </c>
      <c r="D31" s="2">
        <f t="shared" si="4"/>
        <v>6.5651393478907808E-26</v>
      </c>
      <c r="E31" s="2">
        <f t="shared" si="4"/>
        <v>2.7509778650786363E-20</v>
      </c>
      <c r="F31" s="2">
        <f t="shared" si="4"/>
        <v>6.3159354289786686E-16</v>
      </c>
      <c r="G31" s="2">
        <f t="shared" si="4"/>
        <v>2.3099030563121949E-12</v>
      </c>
      <c r="H31" s="2">
        <f t="shared" si="4"/>
        <v>2.3779312094132817E-9</v>
      </c>
      <c r="I31" s="2">
        <f t="shared" si="4"/>
        <v>9.6791428813066588E-7</v>
      </c>
      <c r="J31" s="2">
        <f t="shared" si="4"/>
        <v>1.9395474595750365E-4</v>
      </c>
    </row>
    <row r="32" spans="1:10" ht="15.6" x14ac:dyDescent="0.3">
      <c r="A32" s="2">
        <f t="shared" si="3"/>
        <v>24</v>
      </c>
      <c r="B32" s="2">
        <f t="shared" si="4"/>
        <v>-2.127659574468096E-49</v>
      </c>
      <c r="C32" s="2">
        <f t="shared" si="4"/>
        <v>-2.9944146458580579E-35</v>
      </c>
      <c r="D32" s="2">
        <f t="shared" si="4"/>
        <v>-5.6571945444590789E-27</v>
      </c>
      <c r="E32" s="2">
        <f t="shared" si="4"/>
        <v>-4.2142639635247205E-21</v>
      </c>
      <c r="F32" s="2">
        <f t="shared" si="4"/>
        <v>-1.5117930548087238E-16</v>
      </c>
      <c r="G32" s="2">
        <f t="shared" si="4"/>
        <v>-7.9617935132462885E-13</v>
      </c>
      <c r="H32" s="2">
        <f t="shared" si="4"/>
        <v>-1.1156038971821883E-9</v>
      </c>
      <c r="I32" s="2">
        <f t="shared" si="4"/>
        <v>-5.9310492549283348E-7</v>
      </c>
      <c r="J32" s="2">
        <f t="shared" si="4"/>
        <v>-1.5041809553512783E-4</v>
      </c>
    </row>
    <row r="33" spans="1:10" ht="15.6" x14ac:dyDescent="0.3">
      <c r="A33" s="2">
        <f t="shared" si="3"/>
        <v>25</v>
      </c>
      <c r="B33" s="2">
        <f t="shared" si="4"/>
        <v>2.0408163265306229E-51</v>
      </c>
      <c r="C33" s="2">
        <f t="shared" si="4"/>
        <v>1.1488774559618673E-36</v>
      </c>
      <c r="D33" s="2">
        <f t="shared" si="4"/>
        <v>4.8836597802167157E-28</v>
      </c>
      <c r="E33" s="2">
        <f t="shared" si="4"/>
        <v>6.467605103205286E-22</v>
      </c>
      <c r="F33" s="2">
        <f t="shared" si="4"/>
        <v>3.6252180395923476E-17</v>
      </c>
      <c r="G33" s="2">
        <f t="shared" si="4"/>
        <v>2.7492560457985142E-13</v>
      </c>
      <c r="H33" s="2">
        <f t="shared" si="4"/>
        <v>5.2433383167562844E-10</v>
      </c>
      <c r="I33" s="2">
        <f t="shared" si="4"/>
        <v>3.6409379915968222E-7</v>
      </c>
      <c r="J33" s="2">
        <f t="shared" si="4"/>
        <v>1.1686565095963906E-4</v>
      </c>
    </row>
    <row r="34" spans="1:10" ht="15.6" x14ac:dyDescent="0.3">
      <c r="A34" s="2">
        <f t="shared" si="3"/>
        <v>26</v>
      </c>
      <c r="B34" s="2">
        <f t="shared" si="4"/>
        <v>-1.9607843137255008E-53</v>
      </c>
      <c r="C34" s="2">
        <f t="shared" si="4"/>
        <v>-4.4152937523240395E-38</v>
      </c>
      <c r="D34" s="2">
        <f t="shared" si="4"/>
        <v>-4.2229293393638674E-29</v>
      </c>
      <c r="E34" s="2">
        <f t="shared" si="4"/>
        <v>-9.9423576488489116E-23</v>
      </c>
      <c r="F34" s="2">
        <f t="shared" si="4"/>
        <v>-8.7076315656875022E-18</v>
      </c>
      <c r="G34" s="2">
        <f t="shared" si="4"/>
        <v>-9.5091914995854483E-14</v>
      </c>
      <c r="H34" s="2">
        <f t="shared" si="4"/>
        <v>-2.4684814310846742E-10</v>
      </c>
      <c r="I34" s="2">
        <f t="shared" si="4"/>
        <v>-2.238819910126987E-7</v>
      </c>
      <c r="J34" s="2">
        <f t="shared" si="4"/>
        <v>-9.0948974246824949E-5</v>
      </c>
    </row>
    <row r="35" spans="1:10" ht="15.6" x14ac:dyDescent="0.3">
      <c r="A35" s="2">
        <f t="shared" si="3"/>
        <v>27</v>
      </c>
      <c r="B35" s="2">
        <f t="shared" si="4"/>
        <v>1.8867924528301996E-55</v>
      </c>
      <c r="C35" s="2">
        <f t="shared" si="4"/>
        <v>1.6994715574983102E-39</v>
      </c>
      <c r="D35" s="2">
        <f t="shared" si="4"/>
        <v>3.6572161637132373E-30</v>
      </c>
      <c r="E35" s="2">
        <f t="shared" si="4"/>
        <v>1.5307478946152293E-23</v>
      </c>
      <c r="F35" s="2">
        <f t="shared" si="4"/>
        <v>2.09476042382105E-18</v>
      </c>
      <c r="G35" s="2">
        <f t="shared" si="4"/>
        <v>3.2941274704224303E-14</v>
      </c>
      <c r="H35" s="2">
        <f t="shared" si="4"/>
        <v>1.1639122823170942E-10</v>
      </c>
      <c r="I35" s="2">
        <f t="shared" si="4"/>
        <v>1.3787751295574498E-7</v>
      </c>
      <c r="J35" s="2">
        <f t="shared" si="4"/>
        <v>7.0888719361062976E-5</v>
      </c>
    </row>
    <row r="36" spans="1:10" ht="15.6" x14ac:dyDescent="0.3">
      <c r="A36" s="2">
        <f t="shared" si="3"/>
        <v>28</v>
      </c>
      <c r="B36" s="2">
        <f t="shared" si="4"/>
        <v>-1.8181818181818289E-57</v>
      </c>
      <c r="C36" s="2">
        <f t="shared" si="4"/>
        <v>-6.5506903670843965E-41</v>
      </c>
      <c r="D36" s="2">
        <f t="shared" si="4"/>
        <v>-3.1718038365294809E-31</v>
      </c>
      <c r="E36" s="2">
        <f t="shared" si="4"/>
        <v>-2.3601349356976629E-24</v>
      </c>
      <c r="F36" s="2">
        <f t="shared" si="4"/>
        <v>-5.0464682937507113E-19</v>
      </c>
      <c r="G36" s="2">
        <f t="shared" si="4"/>
        <v>-1.1427627661029084E-14</v>
      </c>
      <c r="H36" s="2">
        <f t="shared" si="4"/>
        <v>-5.4957821766863513E-11</v>
      </c>
      <c r="I36" s="2">
        <f t="shared" si="4"/>
        <v>-8.5032822535615799E-8</v>
      </c>
      <c r="J36" s="2">
        <f t="shared" si="4"/>
        <v>-5.5331867675826068E-5</v>
      </c>
    </row>
    <row r="37" spans="1:10" ht="15.6" x14ac:dyDescent="0.3">
      <c r="A37" s="2">
        <f t="shared" si="3"/>
        <v>29</v>
      </c>
      <c r="B37" s="2">
        <f t="shared" si="4"/>
        <v>1.7543859649122913E-59</v>
      </c>
      <c r="C37" s="2">
        <f t="shared" si="4"/>
        <v>2.5283366329097674E-42</v>
      </c>
      <c r="D37" s="2">
        <f t="shared" si="4"/>
        <v>2.7544612264598132E-32</v>
      </c>
      <c r="E37" s="2">
        <f t="shared" si="4"/>
        <v>3.6437170937086729E-25</v>
      </c>
      <c r="F37" s="2">
        <f t="shared" si="4"/>
        <v>1.2173498077030225E-19</v>
      </c>
      <c r="G37" s="2">
        <f t="shared" si="4"/>
        <v>3.9695969769890514E-15</v>
      </c>
      <c r="H37" s="2">
        <f t="shared" si="4"/>
        <v>2.5984443800297743E-11</v>
      </c>
      <c r="I37" s="2">
        <f t="shared" si="4"/>
        <v>5.2511497425503079E-8</v>
      </c>
      <c r="J37" s="2">
        <f t="shared" si="4"/>
        <v>4.324622289400089E-5</v>
      </c>
    </row>
    <row r="38" spans="1:10" ht="15.6" x14ac:dyDescent="0.3">
      <c r="A38" s="2">
        <f t="shared" si="3"/>
        <v>30</v>
      </c>
      <c r="B38" s="2">
        <f t="shared" si="4"/>
        <v>-1.6949152542372987E-61</v>
      </c>
      <c r="C38" s="2">
        <f t="shared" si="4"/>
        <v>-9.770521225481815E-44</v>
      </c>
      <c r="D38" s="2">
        <f t="shared" si="4"/>
        <v>-2.3949806935150586E-33</v>
      </c>
      <c r="E38" s="2">
        <f t="shared" si="4"/>
        <v>-5.6323220160378143E-26</v>
      </c>
      <c r="F38" s="2">
        <f t="shared" si="4"/>
        <v>-2.9402092813166222E-20</v>
      </c>
      <c r="G38" s="2">
        <f t="shared" si="4"/>
        <v>-1.380612372335853E-15</v>
      </c>
      <c r="H38" s="2">
        <f t="shared" si="4"/>
        <v>-1.2300771446479933E-11</v>
      </c>
      <c r="I38" s="2">
        <f t="shared" si="4"/>
        <v>-3.2468125865802582E-8</v>
      </c>
      <c r="J38" s="2">
        <f t="shared" si="4"/>
        <v>-3.3842001881627469E-5</v>
      </c>
    </row>
    <row r="39" spans="1:10" ht="15.6" x14ac:dyDescent="0.3">
      <c r="A39" s="2">
        <f t="shared" si="3"/>
        <v>31</v>
      </c>
      <c r="B39" s="2">
        <f t="shared" si="4"/>
        <v>1.6393442622950929E-63</v>
      </c>
      <c r="C39" s="2">
        <f t="shared" si="4"/>
        <v>3.7800705069077203E-45</v>
      </c>
      <c r="D39" s="2">
        <f t="shared" si="4"/>
        <v>2.0848110627155681E-34</v>
      </c>
      <c r="E39" s="2">
        <f t="shared" si="4"/>
        <v>8.7162491526880312E-27</v>
      </c>
      <c r="F39" s="2">
        <f t="shared" si="4"/>
        <v>7.1095224425278983E-21</v>
      </c>
      <c r="G39" s="2">
        <f t="shared" si="4"/>
        <v>4.8072470144940194E-16</v>
      </c>
      <c r="H39" s="2">
        <f t="shared" si="4"/>
        <v>5.8297590576677824E-12</v>
      </c>
      <c r="I39" s="2">
        <f t="shared" si="4"/>
        <v>2.0098302175290248E-8</v>
      </c>
      <c r="J39" s="2">
        <f t="shared" si="4"/>
        <v>2.6513266720048783E-5</v>
      </c>
    </row>
    <row r="40" spans="1:10" ht="15.6" x14ac:dyDescent="0.3">
      <c r="A40" s="2">
        <f t="shared" si="3"/>
        <v>32</v>
      </c>
      <c r="B40" s="2">
        <f t="shared" si="4"/>
        <v>-1.5873015873015982E-65</v>
      </c>
      <c r="C40" s="2">
        <f t="shared" si="4"/>
        <v>-1.4640273074372761E-46</v>
      </c>
      <c r="D40" s="2">
        <f t="shared" si="4"/>
        <v>-1.8167639260807096E-35</v>
      </c>
      <c r="E40" s="2">
        <f t="shared" si="4"/>
        <v>-1.3503268528608762E-27</v>
      </c>
      <c r="F40" s="2">
        <f t="shared" si="4"/>
        <v>-1.7209558293420704E-21</v>
      </c>
      <c r="G40" s="2">
        <f t="shared" si="4"/>
        <v>-1.6756689593379149E-16</v>
      </c>
      <c r="H40" s="2">
        <f t="shared" si="4"/>
        <v>-2.765896797360158E-12</v>
      </c>
      <c r="I40" s="2">
        <f t="shared" si="4"/>
        <v>-1.245456693529097E-8</v>
      </c>
      <c r="J40" s="2">
        <f t="shared" si="4"/>
        <v>-2.0793976327581121E-5</v>
      </c>
    </row>
    <row r="41" spans="1:10" ht="15.6" x14ac:dyDescent="0.3">
      <c r="A41" s="2">
        <f t="shared" si="3"/>
        <v>33</v>
      </c>
      <c r="B41" s="2">
        <f t="shared" si="4"/>
        <v>1.5384615384615489E-67</v>
      </c>
      <c r="C41" s="2">
        <f t="shared" si="4"/>
        <v>5.6759212534491315E-48</v>
      </c>
      <c r="D41" s="2">
        <f t="shared" si="4"/>
        <v>1.5847771478273267E-36</v>
      </c>
      <c r="E41" s="2">
        <f t="shared" si="4"/>
        <v>2.0940453348980971E-28</v>
      </c>
      <c r="F41" s="2">
        <f t="shared" si="4"/>
        <v>4.1700083557134788E-22</v>
      </c>
      <c r="G41" s="2">
        <f t="shared" si="4"/>
        <v>5.8467956919667537E-17</v>
      </c>
      <c r="H41" s="2">
        <f t="shared" si="4"/>
        <v>1.3135882174539708E-12</v>
      </c>
      <c r="I41" s="2">
        <f t="shared" si="4"/>
        <v>7.7256636743220286E-9</v>
      </c>
      <c r="J41" s="2">
        <f t="shared" si="4"/>
        <v>1.6324870953791755E-5</v>
      </c>
    </row>
    <row r="42" spans="1:10" ht="15.6" x14ac:dyDescent="0.3">
      <c r="A42" s="2">
        <f t="shared" si="3"/>
        <v>34</v>
      </c>
      <c r="B42" s="2">
        <f t="shared" ref="B42:J48" si="5">((-1)^($A42+1))*(B$7^(1+($A42-1)*2))/(1+($A42-1)*2)</f>
        <v>-1.4925373134328467E-69</v>
      </c>
      <c r="C42" s="2">
        <f t="shared" si="5"/>
        <v>-2.2025963073086192E-49</v>
      </c>
      <c r="D42" s="2">
        <f t="shared" si="5"/>
        <v>-1.3837233305656514E-37</v>
      </c>
      <c r="E42" s="2">
        <f t="shared" si="5"/>
        <v>-3.250458430289585E-29</v>
      </c>
      <c r="F42" s="2">
        <f t="shared" si="5"/>
        <v>-1.0113826235872243E-22</v>
      </c>
      <c r="G42" s="2">
        <f t="shared" si="5"/>
        <v>-2.0420152118212249E-17</v>
      </c>
      <c r="H42" s="2">
        <f t="shared" si="5"/>
        <v>-6.2444454814789496E-13</v>
      </c>
      <c r="I42" s="2">
        <f t="shared" si="5"/>
        <v>-4.796829982862632E-9</v>
      </c>
      <c r="J42" s="2">
        <f t="shared" si="5"/>
        <v>-1.2828424712196056E-5</v>
      </c>
    </row>
    <row r="43" spans="1:10" ht="15.6" x14ac:dyDescent="0.3">
      <c r="A43" s="2">
        <f t="shared" si="3"/>
        <v>35</v>
      </c>
      <c r="B43" s="2">
        <f t="shared" si="5"/>
        <v>1.4492753623188513E-71</v>
      </c>
      <c r="C43" s="2">
        <f t="shared" si="5"/>
        <v>8.555011744329131E-51</v>
      </c>
      <c r="D43" s="2">
        <f t="shared" si="5"/>
        <v>1.2092538671465044E-38</v>
      </c>
      <c r="E43" s="2">
        <f t="shared" si="5"/>
        <v>5.0499875902470083E-30</v>
      </c>
      <c r="F43" s="2">
        <f t="shared" si="5"/>
        <v>2.455167963055943E-23</v>
      </c>
      <c r="G43" s="2">
        <f t="shared" si="5"/>
        <v>7.1381749143663671E-18</v>
      </c>
      <c r="H43" s="2">
        <f t="shared" si="5"/>
        <v>2.9710890602457087E-13</v>
      </c>
      <c r="I43" s="2">
        <f t="shared" si="5"/>
        <v>2.9809865168862261E-9</v>
      </c>
      <c r="J43" s="2">
        <f t="shared" si="5"/>
        <v>1.0089834914940288E-5</v>
      </c>
    </row>
    <row r="44" spans="1:10" ht="15.6" x14ac:dyDescent="0.3">
      <c r="A44" s="2">
        <f t="shared" si="3"/>
        <v>36</v>
      </c>
      <c r="B44" s="2">
        <f t="shared" si="5"/>
        <v>-1.4084507042253627E-73</v>
      </c>
      <c r="C44" s="2">
        <f t="shared" si="5"/>
        <v>-3.3256101992040006E-52</v>
      </c>
      <c r="D44" s="2">
        <f t="shared" si="5"/>
        <v>-1.0576713401379993E-39</v>
      </c>
      <c r="E44" s="2">
        <f t="shared" si="5"/>
        <v>-7.8523750699052081E-31</v>
      </c>
      <c r="F44" s="2">
        <f t="shared" si="5"/>
        <v>-5.9650207553119744E-24</v>
      </c>
      <c r="G44" s="2">
        <f t="shared" si="5"/>
        <v>-2.4973558432797263E-18</v>
      </c>
      <c r="H44" s="2">
        <f t="shared" si="5"/>
        <v>-1.4148242412240477E-13</v>
      </c>
      <c r="I44" s="2">
        <f t="shared" si="5"/>
        <v>-1.8540896420520525E-9</v>
      </c>
      <c r="J44" s="2">
        <f t="shared" si="5"/>
        <v>-7.9425475126198936E-6</v>
      </c>
    </row>
    <row r="45" spans="1:10" ht="15.6" x14ac:dyDescent="0.3">
      <c r="A45" s="2">
        <f t="shared" si="3"/>
        <v>37</v>
      </c>
      <c r="B45" s="2">
        <f t="shared" si="5"/>
        <v>1.3698630136986407E-75</v>
      </c>
      <c r="C45" s="2">
        <f t="shared" si="5"/>
        <v>1.2937990364026525E-53</v>
      </c>
      <c r="D45" s="2">
        <f t="shared" si="5"/>
        <v>9.258246388331255E-41</v>
      </c>
      <c r="E45" s="2">
        <f t="shared" si="5"/>
        <v>1.221958641015386E-31</v>
      </c>
      <c r="F45" s="2">
        <f t="shared" si="5"/>
        <v>1.4503988822847608E-24</v>
      </c>
      <c r="G45" s="2">
        <f t="shared" si="5"/>
        <v>8.7441664868807966E-19</v>
      </c>
      <c r="H45" s="2">
        <f t="shared" si="5"/>
        <v>6.7427034729020012E-14</v>
      </c>
      <c r="I45" s="2">
        <f t="shared" si="5"/>
        <v>1.1541073059567845E-9</v>
      </c>
      <c r="J45" s="2">
        <f t="shared" si="5"/>
        <v>6.2572042116543839E-6</v>
      </c>
    </row>
    <row r="46" spans="1:10" ht="15.6" x14ac:dyDescent="0.3">
      <c r="A46" s="2">
        <f t="shared" si="3"/>
        <v>38</v>
      </c>
      <c r="B46" s="2">
        <f t="shared" si="5"/>
        <v>-1.333333333333344E-77</v>
      </c>
      <c r="C46" s="2">
        <f t="shared" si="5"/>
        <v>-5.0371909150609951E-55</v>
      </c>
      <c r="D46" s="2">
        <f t="shared" si="5"/>
        <v>-8.110223836178183E-42</v>
      </c>
      <c r="E46" s="2">
        <f t="shared" si="5"/>
        <v>-1.9029969236079617E-32</v>
      </c>
      <c r="F46" s="2">
        <f t="shared" si="5"/>
        <v>-3.5293039468929183E-25</v>
      </c>
      <c r="G46" s="2">
        <f t="shared" si="5"/>
        <v>-3.0639559370030306E-19</v>
      </c>
      <c r="H46" s="2">
        <f t="shared" si="5"/>
        <v>-3.215820043009394E-14</v>
      </c>
      <c r="I46" s="2">
        <f t="shared" si="5"/>
        <v>-7.1893191112401277E-10</v>
      </c>
      <c r="J46" s="2">
        <f t="shared" si="5"/>
        <v>-4.9331798004683152E-6</v>
      </c>
    </row>
    <row r="47" spans="1:10" ht="15.6" x14ac:dyDescent="0.3">
      <c r="A47" s="2">
        <f t="shared" si="3"/>
        <v>39</v>
      </c>
      <c r="B47" s="2">
        <f t="shared" si="5"/>
        <v>1.2987012987013096E-79</v>
      </c>
      <c r="C47" s="2">
        <f t="shared" si="5"/>
        <v>1.96254191495883E-56</v>
      </c>
      <c r="D47" s="2">
        <f t="shared" si="5"/>
        <v>7.1096118044419157E-43</v>
      </c>
      <c r="E47" s="2">
        <f t="shared" si="5"/>
        <v>2.9657094913370843E-33</v>
      </c>
      <c r="F47" s="2">
        <f t="shared" si="5"/>
        <v>8.5940842862652232E-26</v>
      </c>
      <c r="G47" s="2">
        <f t="shared" si="5"/>
        <v>1.0743741597283354E-19</v>
      </c>
      <c r="H47" s="2">
        <f t="shared" si="5"/>
        <v>1.5348232023453925E-14</v>
      </c>
      <c r="I47" s="2">
        <f t="shared" si="5"/>
        <v>4.4816534719418969E-10</v>
      </c>
      <c r="J47" s="2">
        <f t="shared" si="5"/>
        <v>3.8920866607590913E-6</v>
      </c>
    </row>
    <row r="48" spans="1:10" ht="16.2" thickBot="1" x14ac:dyDescent="0.35">
      <c r="A48" s="3">
        <f t="shared" si="3"/>
        <v>40</v>
      </c>
      <c r="B48" s="2">
        <f t="shared" si="5"/>
        <v>-1.2658227848101375E-81</v>
      </c>
      <c r="C48" s="2">
        <f t="shared" si="5"/>
        <v>-7.651429238067339E-58</v>
      </c>
      <c r="D48" s="2">
        <f t="shared" si="5"/>
        <v>-6.2366594689598093E-44</v>
      </c>
      <c r="E48" s="2">
        <f t="shared" si="5"/>
        <v>-4.6250051814269477E-34</v>
      </c>
      <c r="F48" s="2">
        <f t="shared" si="5"/>
        <v>-2.0941281330456397E-26</v>
      </c>
      <c r="G48" s="2">
        <f t="shared" si="5"/>
        <v>-3.7698293300847413E-20</v>
      </c>
      <c r="H48" s="2">
        <f t="shared" si="5"/>
        <v>-7.3302379018343857E-15</v>
      </c>
      <c r="I48" s="2">
        <f t="shared" si="5"/>
        <v>-2.7956440898391978E-10</v>
      </c>
      <c r="J48" s="2">
        <f t="shared" si="5"/>
        <v>-3.0727777852094245E-6</v>
      </c>
    </row>
    <row r="49" spans="1:10" ht="16.2" thickBot="1" x14ac:dyDescent="0.35">
      <c r="A49" s="11" t="s">
        <v>2</v>
      </c>
      <c r="B49" s="10">
        <f>SUM(B9:B48)</f>
        <v>9.966865249116201E-2</v>
      </c>
      <c r="C49" s="10">
        <f t="shared" ref="C49:J49" si="6">SUM(C9:C48)</f>
        <v>0.1973955598498808</v>
      </c>
      <c r="D49" s="10">
        <f t="shared" si="6"/>
        <v>0.2914567944778671</v>
      </c>
      <c r="E49" s="10">
        <f t="shared" si="6"/>
        <v>0.38050637711236501</v>
      </c>
      <c r="F49" s="10">
        <f t="shared" si="6"/>
        <v>0.46364760900080587</v>
      </c>
      <c r="G49" s="10">
        <f t="shared" si="6"/>
        <v>0.54041950027058427</v>
      </c>
      <c r="H49" s="10">
        <f t="shared" si="6"/>
        <v>0.61072596438920623</v>
      </c>
      <c r="I49" s="10">
        <f t="shared" si="6"/>
        <v>0.67474094211612834</v>
      </c>
      <c r="J49" s="10">
        <f t="shared" si="6"/>
        <v>0.73281374585266335</v>
      </c>
    </row>
    <row r="50" spans="1:10" ht="16.2" thickBot="1" x14ac:dyDescent="0.35">
      <c r="A50" s="11" t="s">
        <v>3</v>
      </c>
      <c r="B50" s="10">
        <f>ATAN(B7)</f>
        <v>9.9668652491162038E-2</v>
      </c>
      <c r="C50" s="10">
        <f t="shared" ref="C50:J50" si="7">ATAN(C7)</f>
        <v>0.19739555984988078</v>
      </c>
      <c r="D50" s="10">
        <f t="shared" si="7"/>
        <v>0.29145679447786715</v>
      </c>
      <c r="E50" s="10">
        <f t="shared" si="7"/>
        <v>0.3805063771123649</v>
      </c>
      <c r="F50" s="10">
        <f t="shared" si="7"/>
        <v>0.46364760900080609</v>
      </c>
      <c r="G50" s="10">
        <f t="shared" si="7"/>
        <v>0.54041950027058416</v>
      </c>
      <c r="H50" s="10">
        <f t="shared" si="7"/>
        <v>0.61072596438920856</v>
      </c>
      <c r="I50" s="10">
        <f t="shared" si="7"/>
        <v>0.67474094222355263</v>
      </c>
      <c r="J50" s="10">
        <f t="shared" si="7"/>
        <v>0.73281510178650655</v>
      </c>
    </row>
  </sheetData>
  <mergeCells count="14">
    <mergeCell ref="A1:B1"/>
    <mergeCell ref="A2:J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B3:D4"/>
    <mergeCell ref="B5:C5"/>
  </mergeCells>
  <conditionalFormatting sqref="B9:J50">
    <cfRule type="cellIs" dxfId="22" priority="2" operator="greaterThan">
      <formula>1.5</formula>
    </cfRule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K30"/>
  <sheetViews>
    <sheetView zoomScale="72" workbookViewId="0">
      <selection activeCell="B12" sqref="B12"/>
    </sheetView>
  </sheetViews>
  <sheetFormatPr defaultRowHeight="14.4" x14ac:dyDescent="0.3"/>
  <sheetData>
    <row r="1" spans="1:11" ht="15.6" x14ac:dyDescent="0.3">
      <c r="A1" s="21" t="s">
        <v>10</v>
      </c>
      <c r="B1" s="21"/>
      <c r="C1" s="1"/>
      <c r="D1" s="1"/>
      <c r="E1" s="1"/>
      <c r="F1" s="1"/>
      <c r="G1" s="1"/>
      <c r="H1" s="1"/>
      <c r="I1" s="1"/>
      <c r="J1" s="1"/>
    </row>
    <row r="2" spans="1:11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ht="15.6" x14ac:dyDescent="0.3">
      <c r="A3" s="1"/>
      <c r="B3" s="20"/>
      <c r="C3" s="20"/>
      <c r="D3" s="20"/>
      <c r="E3" s="12"/>
      <c r="F3" s="1"/>
      <c r="G3" s="1"/>
      <c r="H3" s="1"/>
      <c r="I3" s="1"/>
      <c r="J3" s="1"/>
    </row>
    <row r="4" spans="1:11" ht="15.6" x14ac:dyDescent="0.3">
      <c r="A4" s="1"/>
      <c r="B4" s="20"/>
      <c r="C4" s="20"/>
      <c r="D4" s="20"/>
      <c r="E4" s="12"/>
      <c r="F4" s="1"/>
      <c r="G4" s="1"/>
      <c r="H4" s="1"/>
      <c r="I4" s="1"/>
      <c r="J4" s="1"/>
    </row>
    <row r="5" spans="1:11" ht="15.6" x14ac:dyDescent="0.3">
      <c r="A5" s="1"/>
      <c r="B5" s="12"/>
      <c r="C5" s="12"/>
      <c r="D5" s="12"/>
      <c r="E5" s="1"/>
      <c r="F5" s="1"/>
      <c r="G5" s="1"/>
      <c r="H5" s="1"/>
      <c r="I5" s="1"/>
      <c r="J5" s="1"/>
    </row>
    <row r="6" spans="1:11" ht="16.2" thickBot="1" x14ac:dyDescent="0.35">
      <c r="A6" s="1"/>
      <c r="B6" s="13"/>
      <c r="C6" s="13"/>
      <c r="D6" s="13"/>
      <c r="E6" s="1"/>
      <c r="F6" s="1"/>
      <c r="G6" s="1"/>
      <c r="H6" s="1"/>
      <c r="I6" s="1"/>
      <c r="J6" s="1"/>
    </row>
    <row r="7" spans="1:11" ht="14.4" customHeight="1" x14ac:dyDescent="0.3">
      <c r="A7" s="23" t="s">
        <v>20</v>
      </c>
      <c r="B7" s="25">
        <v>0.1</v>
      </c>
      <c r="C7" s="27">
        <f>B7+0.1</f>
        <v>0.2</v>
      </c>
      <c r="D7" s="27">
        <f t="shared" ref="D7:J7" si="0">C7+0.1</f>
        <v>0.30000000000000004</v>
      </c>
      <c r="E7" s="27">
        <f t="shared" si="0"/>
        <v>0.4</v>
      </c>
      <c r="F7" s="27">
        <f t="shared" si="0"/>
        <v>0.5</v>
      </c>
      <c r="G7" s="27">
        <f t="shared" si="0"/>
        <v>0.6</v>
      </c>
      <c r="H7" s="27">
        <f t="shared" si="0"/>
        <v>0.7</v>
      </c>
      <c r="I7" s="27">
        <f t="shared" si="0"/>
        <v>0.79999999999999993</v>
      </c>
      <c r="J7" s="27">
        <f t="shared" si="0"/>
        <v>0.89999999999999991</v>
      </c>
      <c r="K7" s="27">
        <f>J7+0.1</f>
        <v>0.99999999999999989</v>
      </c>
    </row>
    <row r="8" spans="1:11" ht="15" customHeight="1" thickBot="1" x14ac:dyDescent="0.35">
      <c r="A8" s="24"/>
      <c r="B8" s="26"/>
      <c r="C8" s="28"/>
      <c r="D8" s="28"/>
      <c r="E8" s="28"/>
      <c r="F8" s="28"/>
      <c r="G8" s="28"/>
      <c r="H8" s="28"/>
      <c r="I8" s="28"/>
      <c r="J8" s="28"/>
      <c r="K8" s="28"/>
    </row>
    <row r="9" spans="1:11" ht="15.6" x14ac:dyDescent="0.3">
      <c r="A9" s="2">
        <v>1</v>
      </c>
      <c r="B9" s="2">
        <f>((2*B$7)^($A9-1))/FACT($A9-1)</f>
        <v>1</v>
      </c>
      <c r="C9" s="2">
        <f t="shared" ref="C9:K24" si="1">((2*C$7)^($A9-1))/FACT($A9-1)</f>
        <v>1</v>
      </c>
      <c r="D9" s="2">
        <f t="shared" si="1"/>
        <v>1</v>
      </c>
      <c r="E9" s="2">
        <f t="shared" si="1"/>
        <v>1</v>
      </c>
      <c r="F9" s="2">
        <f t="shared" si="1"/>
        <v>1</v>
      </c>
      <c r="G9" s="2">
        <f t="shared" si="1"/>
        <v>1</v>
      </c>
      <c r="H9" s="2">
        <f t="shared" si="1"/>
        <v>1</v>
      </c>
      <c r="I9" s="2">
        <f t="shared" si="1"/>
        <v>1</v>
      </c>
      <c r="J9" s="2">
        <f t="shared" si="1"/>
        <v>1</v>
      </c>
      <c r="K9" s="2">
        <f t="shared" si="1"/>
        <v>1</v>
      </c>
    </row>
    <row r="10" spans="1:11" ht="15.6" x14ac:dyDescent="0.3">
      <c r="A10" s="2">
        <f>A9+1</f>
        <v>2</v>
      </c>
      <c r="B10" s="2">
        <f t="shared" ref="B10:K25" si="2">((2*B$7)^($A10-1))/FACT($A10-1)</f>
        <v>0.2</v>
      </c>
      <c r="C10" s="2">
        <f t="shared" si="1"/>
        <v>0.4</v>
      </c>
      <c r="D10" s="2">
        <f t="shared" si="1"/>
        <v>0.60000000000000009</v>
      </c>
      <c r="E10" s="2">
        <f t="shared" si="1"/>
        <v>0.8</v>
      </c>
      <c r="F10" s="2">
        <f t="shared" si="1"/>
        <v>1</v>
      </c>
      <c r="G10" s="2">
        <f t="shared" si="1"/>
        <v>1.2</v>
      </c>
      <c r="H10" s="2">
        <f t="shared" si="1"/>
        <v>1.4</v>
      </c>
      <c r="I10" s="2">
        <f t="shared" si="1"/>
        <v>1.5999999999999999</v>
      </c>
      <c r="J10" s="2">
        <f t="shared" si="1"/>
        <v>1.7999999999999998</v>
      </c>
      <c r="K10" s="2">
        <f t="shared" si="1"/>
        <v>1.9999999999999998</v>
      </c>
    </row>
    <row r="11" spans="1:11" ht="15.6" x14ac:dyDescent="0.3">
      <c r="A11" s="2">
        <f t="shared" ref="A11:A28" si="3">A10+1</f>
        <v>3</v>
      </c>
      <c r="B11" s="2">
        <f t="shared" si="2"/>
        <v>2.0000000000000004E-2</v>
      </c>
      <c r="C11" s="2">
        <f t="shared" si="1"/>
        <v>8.0000000000000016E-2</v>
      </c>
      <c r="D11" s="2">
        <f t="shared" si="1"/>
        <v>0.18000000000000005</v>
      </c>
      <c r="E11" s="2">
        <f t="shared" si="1"/>
        <v>0.32000000000000006</v>
      </c>
      <c r="F11" s="2">
        <f t="shared" si="1"/>
        <v>0.5</v>
      </c>
      <c r="G11" s="2">
        <f t="shared" si="1"/>
        <v>0.72</v>
      </c>
      <c r="H11" s="2">
        <f t="shared" si="1"/>
        <v>0.97999999999999987</v>
      </c>
      <c r="I11" s="2">
        <f t="shared" si="1"/>
        <v>1.2799999999999998</v>
      </c>
      <c r="J11" s="2">
        <f t="shared" si="1"/>
        <v>1.6199999999999997</v>
      </c>
      <c r="K11" s="2">
        <f t="shared" si="1"/>
        <v>1.9999999999999996</v>
      </c>
    </row>
    <row r="12" spans="1:11" ht="15.6" x14ac:dyDescent="0.3">
      <c r="A12" s="2">
        <f t="shared" si="3"/>
        <v>4</v>
      </c>
      <c r="B12" s="2">
        <f t="shared" si="2"/>
        <v>1.3333333333333337E-3</v>
      </c>
      <c r="C12" s="2">
        <f t="shared" si="1"/>
        <v>1.066666666666667E-2</v>
      </c>
      <c r="D12" s="2">
        <f t="shared" si="1"/>
        <v>3.6000000000000011E-2</v>
      </c>
      <c r="E12" s="2">
        <f t="shared" si="1"/>
        <v>8.5333333333333358E-2</v>
      </c>
      <c r="F12" s="2">
        <f t="shared" si="1"/>
        <v>0.16666666666666666</v>
      </c>
      <c r="G12" s="2">
        <f t="shared" si="1"/>
        <v>0.28799999999999998</v>
      </c>
      <c r="H12" s="2">
        <f t="shared" si="1"/>
        <v>0.4573333333333332</v>
      </c>
      <c r="I12" s="2">
        <f t="shared" si="1"/>
        <v>0.68266666666666653</v>
      </c>
      <c r="J12" s="2">
        <f t="shared" si="1"/>
        <v>0.97199999999999964</v>
      </c>
      <c r="K12" s="2">
        <f t="shared" si="1"/>
        <v>1.3333333333333328</v>
      </c>
    </row>
    <row r="13" spans="1:11" ht="15.6" x14ac:dyDescent="0.3">
      <c r="A13" s="2">
        <f t="shared" si="3"/>
        <v>5</v>
      </c>
      <c r="B13" s="2">
        <f t="shared" si="2"/>
        <v>6.6666666666666697E-5</v>
      </c>
      <c r="C13" s="2">
        <f t="shared" si="1"/>
        <v>1.0666666666666672E-3</v>
      </c>
      <c r="D13" s="2">
        <f t="shared" si="1"/>
        <v>5.4000000000000029E-3</v>
      </c>
      <c r="E13" s="2">
        <f t="shared" si="1"/>
        <v>1.7066666666666674E-2</v>
      </c>
      <c r="F13" s="2">
        <f t="shared" si="1"/>
        <v>4.1666666666666664E-2</v>
      </c>
      <c r="G13" s="2">
        <f t="shared" si="1"/>
        <v>8.6399999999999991E-2</v>
      </c>
      <c r="H13" s="2">
        <f t="shared" si="1"/>
        <v>0.16006666666666661</v>
      </c>
      <c r="I13" s="2">
        <f t="shared" si="1"/>
        <v>0.27306666666666657</v>
      </c>
      <c r="J13" s="2">
        <f t="shared" si="1"/>
        <v>0.43739999999999979</v>
      </c>
      <c r="K13" s="2">
        <f t="shared" si="1"/>
        <v>0.66666666666666641</v>
      </c>
    </row>
    <row r="14" spans="1:11" ht="15.6" x14ac:dyDescent="0.3">
      <c r="A14" s="2">
        <f t="shared" si="3"/>
        <v>6</v>
      </c>
      <c r="B14" s="2">
        <f t="shared" si="2"/>
        <v>2.6666666666666681E-6</v>
      </c>
      <c r="C14" s="2">
        <f t="shared" si="1"/>
        <v>8.5333333333333379E-5</v>
      </c>
      <c r="D14" s="2">
        <f t="shared" si="1"/>
        <v>6.4800000000000046E-4</v>
      </c>
      <c r="E14" s="2">
        <f t="shared" si="1"/>
        <v>2.7306666666666681E-3</v>
      </c>
      <c r="F14" s="2">
        <f t="shared" si="1"/>
        <v>8.3333333333333332E-3</v>
      </c>
      <c r="G14" s="2">
        <f t="shared" si="1"/>
        <v>2.0735999999999997E-2</v>
      </c>
      <c r="H14" s="2">
        <f t="shared" si="1"/>
        <v>4.4818666666666652E-2</v>
      </c>
      <c r="I14" s="2">
        <f t="shared" si="1"/>
        <v>8.7381333333333297E-2</v>
      </c>
      <c r="J14" s="2">
        <f t="shared" si="1"/>
        <v>0.15746399999999991</v>
      </c>
      <c r="K14" s="2">
        <f t="shared" si="1"/>
        <v>0.2666666666666665</v>
      </c>
    </row>
    <row r="15" spans="1:11" ht="15.6" x14ac:dyDescent="0.3">
      <c r="A15" s="2">
        <f t="shared" si="3"/>
        <v>7</v>
      </c>
      <c r="B15" s="2">
        <f t="shared" si="2"/>
        <v>8.8888888888888935E-8</v>
      </c>
      <c r="C15" s="2">
        <f t="shared" si="1"/>
        <v>5.6888888888888918E-6</v>
      </c>
      <c r="D15" s="2">
        <f t="shared" si="1"/>
        <v>6.4800000000000057E-5</v>
      </c>
      <c r="E15" s="2">
        <f t="shared" si="1"/>
        <v>3.6408888888888908E-4</v>
      </c>
      <c r="F15" s="2">
        <f t="shared" si="1"/>
        <v>1.3888888888888889E-3</v>
      </c>
      <c r="G15" s="2">
        <f t="shared" si="1"/>
        <v>4.1471999999999993E-3</v>
      </c>
      <c r="H15" s="2">
        <f t="shared" si="1"/>
        <v>1.0457688888888884E-2</v>
      </c>
      <c r="I15" s="2">
        <f t="shared" si="1"/>
        <v>2.3301688888888877E-2</v>
      </c>
      <c r="J15" s="2">
        <f t="shared" si="1"/>
        <v>4.7239199999999967E-2</v>
      </c>
      <c r="K15" s="2">
        <f t="shared" si="1"/>
        <v>8.8888888888888823E-2</v>
      </c>
    </row>
    <row r="16" spans="1:11" ht="15.6" x14ac:dyDescent="0.3">
      <c r="A16" s="2">
        <f t="shared" si="3"/>
        <v>8</v>
      </c>
      <c r="B16" s="2">
        <f t="shared" si="2"/>
        <v>2.5396825396825415E-9</v>
      </c>
      <c r="C16" s="2">
        <f t="shared" si="1"/>
        <v>3.2507936507936532E-7</v>
      </c>
      <c r="D16" s="2">
        <f t="shared" si="1"/>
        <v>5.5542857142857203E-6</v>
      </c>
      <c r="E16" s="2">
        <f t="shared" si="1"/>
        <v>4.161015873015876E-5</v>
      </c>
      <c r="F16" s="2">
        <f t="shared" si="1"/>
        <v>1.9841269841269841E-4</v>
      </c>
      <c r="G16" s="2">
        <f t="shared" si="1"/>
        <v>7.1094857142857133E-4</v>
      </c>
      <c r="H16" s="2">
        <f t="shared" si="1"/>
        <v>2.0915377777777763E-3</v>
      </c>
      <c r="I16" s="2">
        <f t="shared" si="1"/>
        <v>5.3261003174603144E-3</v>
      </c>
      <c r="J16" s="2">
        <f t="shared" si="1"/>
        <v>1.2147222857142847E-2</v>
      </c>
      <c r="K16" s="2">
        <f t="shared" si="1"/>
        <v>2.5396825396825376E-2</v>
      </c>
    </row>
    <row r="17" spans="1:11" ht="15.6" x14ac:dyDescent="0.3">
      <c r="A17" s="2">
        <f t="shared" si="3"/>
        <v>9</v>
      </c>
      <c r="B17" s="2">
        <f t="shared" si="2"/>
        <v>6.3492063492063549E-11</v>
      </c>
      <c r="C17" s="2">
        <f t="shared" si="1"/>
        <v>1.6253968253968268E-8</v>
      </c>
      <c r="D17" s="2">
        <f t="shared" si="1"/>
        <v>4.1657142857142904E-7</v>
      </c>
      <c r="E17" s="2">
        <f t="shared" si="1"/>
        <v>4.1610158730158767E-6</v>
      </c>
      <c r="F17" s="2">
        <f t="shared" si="1"/>
        <v>2.4801587301587302E-5</v>
      </c>
      <c r="G17" s="2">
        <f t="shared" si="1"/>
        <v>1.066422857142857E-4</v>
      </c>
      <c r="H17" s="2">
        <f t="shared" si="1"/>
        <v>3.6601911111111091E-4</v>
      </c>
      <c r="I17" s="2">
        <f t="shared" si="1"/>
        <v>1.0652200634920627E-3</v>
      </c>
      <c r="J17" s="2">
        <f t="shared" si="1"/>
        <v>2.7331251428571405E-3</v>
      </c>
      <c r="K17" s="2">
        <f t="shared" si="1"/>
        <v>6.349206349206344E-3</v>
      </c>
    </row>
    <row r="18" spans="1:11" ht="15.6" x14ac:dyDescent="0.3">
      <c r="A18" s="2">
        <f t="shared" si="3"/>
        <v>10</v>
      </c>
      <c r="B18" s="2">
        <f t="shared" si="2"/>
        <v>1.4109347442680788E-12</v>
      </c>
      <c r="C18" s="2">
        <f t="shared" si="1"/>
        <v>7.2239858906525637E-10</v>
      </c>
      <c r="D18" s="2">
        <f t="shared" si="1"/>
        <v>2.7771428571428608E-8</v>
      </c>
      <c r="E18" s="2">
        <f t="shared" si="1"/>
        <v>3.6986807760141126E-7</v>
      </c>
      <c r="F18" s="2">
        <f t="shared" si="1"/>
        <v>2.7557319223985893E-6</v>
      </c>
      <c r="G18" s="2">
        <f t="shared" si="1"/>
        <v>1.4218971428571427E-5</v>
      </c>
      <c r="H18" s="2">
        <f t="shared" si="1"/>
        <v>5.6936306172839467E-5</v>
      </c>
      <c r="I18" s="2">
        <f t="shared" si="1"/>
        <v>1.8937245573192224E-4</v>
      </c>
      <c r="J18" s="2">
        <f t="shared" si="1"/>
        <v>5.4662502857142801E-4</v>
      </c>
      <c r="K18" s="2">
        <f t="shared" si="1"/>
        <v>1.4109347442680762E-3</v>
      </c>
    </row>
    <row r="19" spans="1:11" ht="15.6" x14ac:dyDescent="0.3">
      <c r="A19" s="2">
        <f t="shared" si="3"/>
        <v>11</v>
      </c>
      <c r="B19" s="2">
        <f t="shared" si="2"/>
        <v>2.8218694885361582E-14</v>
      </c>
      <c r="C19" s="2">
        <f t="shared" si="1"/>
        <v>2.889594356261026E-11</v>
      </c>
      <c r="D19" s="2">
        <f t="shared" si="1"/>
        <v>1.6662857142857164E-9</v>
      </c>
      <c r="E19" s="2">
        <f t="shared" si="1"/>
        <v>2.9589446208112906E-8</v>
      </c>
      <c r="F19" s="2">
        <f t="shared" si="1"/>
        <v>2.7557319223985888E-7</v>
      </c>
      <c r="G19" s="2">
        <f t="shared" si="1"/>
        <v>1.7062765714285713E-6</v>
      </c>
      <c r="H19" s="2">
        <f t="shared" si="1"/>
        <v>7.9710828641975259E-6</v>
      </c>
      <c r="I19" s="2">
        <f t="shared" si="1"/>
        <v>3.0299592917107561E-5</v>
      </c>
      <c r="J19" s="2">
        <f t="shared" si="1"/>
        <v>9.839250514285703E-5</v>
      </c>
      <c r="K19" s="2">
        <f t="shared" si="1"/>
        <v>2.8218694885361522E-4</v>
      </c>
    </row>
    <row r="20" spans="1:11" ht="15.6" x14ac:dyDescent="0.3">
      <c r="A20" s="2">
        <f t="shared" si="3"/>
        <v>12</v>
      </c>
      <c r="B20" s="2">
        <f t="shared" si="2"/>
        <v>5.13067179733847E-16</v>
      </c>
      <c r="C20" s="2">
        <f t="shared" si="1"/>
        <v>1.0507615840949186E-12</v>
      </c>
      <c r="D20" s="2">
        <f t="shared" si="1"/>
        <v>9.0888311688311822E-11</v>
      </c>
      <c r="E20" s="2">
        <f t="shared" si="1"/>
        <v>2.1519597242263934E-9</v>
      </c>
      <c r="F20" s="2">
        <f t="shared" si="1"/>
        <v>2.505210838544172E-8</v>
      </c>
      <c r="G20" s="2">
        <f t="shared" si="1"/>
        <v>1.8613926233766229E-7</v>
      </c>
      <c r="H20" s="2">
        <f t="shared" si="1"/>
        <v>1.0145014554433212E-6</v>
      </c>
      <c r="I20" s="2">
        <f t="shared" si="1"/>
        <v>4.4072135152156443E-6</v>
      </c>
      <c r="J20" s="2">
        <f t="shared" si="1"/>
        <v>1.6100591750649331E-5</v>
      </c>
      <c r="K20" s="2">
        <f t="shared" si="1"/>
        <v>5.1306717973384575E-5</v>
      </c>
    </row>
    <row r="21" spans="1:11" ht="15.6" x14ac:dyDescent="0.3">
      <c r="A21" s="2">
        <f t="shared" si="3"/>
        <v>13</v>
      </c>
      <c r="B21" s="2">
        <f t="shared" si="2"/>
        <v>8.5511196622307855E-18</v>
      </c>
      <c r="C21" s="2">
        <f t="shared" si="1"/>
        <v>3.5025386136497298E-14</v>
      </c>
      <c r="D21" s="2">
        <f t="shared" si="1"/>
        <v>4.5444155844155925E-12</v>
      </c>
      <c r="E21" s="2">
        <f t="shared" si="1"/>
        <v>1.4346398161509293E-10</v>
      </c>
      <c r="F21" s="2">
        <f t="shared" si="1"/>
        <v>2.08767569878681E-9</v>
      </c>
      <c r="G21" s="2">
        <f t="shared" si="1"/>
        <v>1.8613926233766231E-8</v>
      </c>
      <c r="H21" s="2">
        <f t="shared" si="1"/>
        <v>1.1835850313505413E-7</v>
      </c>
      <c r="I21" s="2">
        <f t="shared" si="1"/>
        <v>5.8762846869541916E-7</v>
      </c>
      <c r="J21" s="2">
        <f t="shared" si="1"/>
        <v>2.4150887625973993E-6</v>
      </c>
      <c r="K21" s="2">
        <f t="shared" si="1"/>
        <v>8.551119662230762E-6</v>
      </c>
    </row>
    <row r="22" spans="1:11" ht="15.6" x14ac:dyDescent="0.3">
      <c r="A22" s="2">
        <f t="shared" si="3"/>
        <v>14</v>
      </c>
      <c r="B22" s="2">
        <f t="shared" si="2"/>
        <v>1.3155568711124286E-19</v>
      </c>
      <c r="C22" s="2">
        <f t="shared" si="1"/>
        <v>1.0777041888153015E-15</v>
      </c>
      <c r="D22" s="2">
        <f t="shared" si="1"/>
        <v>2.0974225774225812E-13</v>
      </c>
      <c r="E22" s="2">
        <f t="shared" si="1"/>
        <v>8.8285527147749498E-12</v>
      </c>
      <c r="F22" s="2">
        <f t="shared" si="1"/>
        <v>1.6059043836821613E-10</v>
      </c>
      <c r="G22" s="2">
        <f t="shared" si="1"/>
        <v>1.718208575424575E-9</v>
      </c>
      <c r="H22" s="2">
        <f t="shared" si="1"/>
        <v>1.2746300337621213E-8</v>
      </c>
      <c r="I22" s="2">
        <f t="shared" si="1"/>
        <v>7.2323503839436203E-8</v>
      </c>
      <c r="J22" s="2">
        <f t="shared" si="1"/>
        <v>3.3439690559040904E-7</v>
      </c>
      <c r="K22" s="2">
        <f t="shared" si="1"/>
        <v>1.3155568711124249E-6</v>
      </c>
    </row>
    <row r="23" spans="1:11" ht="15.6" x14ac:dyDescent="0.3">
      <c r="A23" s="2">
        <f t="shared" si="3"/>
        <v>15</v>
      </c>
      <c r="B23" s="2">
        <f t="shared" si="2"/>
        <v>1.8793669587320406E-21</v>
      </c>
      <c r="C23" s="2">
        <f t="shared" si="1"/>
        <v>3.0791548251865753E-17</v>
      </c>
      <c r="D23" s="2">
        <f t="shared" si="1"/>
        <v>8.9889539032396344E-15</v>
      </c>
      <c r="E23" s="2">
        <f t="shared" si="1"/>
        <v>5.044887265585685E-13</v>
      </c>
      <c r="F23" s="2">
        <f t="shared" si="1"/>
        <v>1.1470745597729725E-11</v>
      </c>
      <c r="G23" s="2">
        <f t="shared" si="1"/>
        <v>1.4727502075067786E-10</v>
      </c>
      <c r="H23" s="2">
        <f t="shared" si="1"/>
        <v>1.2746300337621213E-9</v>
      </c>
      <c r="I23" s="2">
        <f t="shared" si="1"/>
        <v>8.2655432959355664E-9</v>
      </c>
      <c r="J23" s="2">
        <f t="shared" si="1"/>
        <v>4.2993887861624018E-8</v>
      </c>
      <c r="K23" s="2">
        <f t="shared" si="1"/>
        <v>1.8793669587320352E-7</v>
      </c>
    </row>
    <row r="24" spans="1:11" ht="15.6" x14ac:dyDescent="0.3">
      <c r="A24" s="2">
        <f t="shared" si="3"/>
        <v>16</v>
      </c>
      <c r="B24" s="2">
        <f t="shared" si="2"/>
        <v>2.5058226116427217E-23</v>
      </c>
      <c r="C24" s="2">
        <f t="shared" si="1"/>
        <v>8.2110795338308703E-19</v>
      </c>
      <c r="D24" s="2">
        <f t="shared" si="1"/>
        <v>3.5955815612958547E-16</v>
      </c>
      <c r="E24" s="2">
        <f t="shared" si="1"/>
        <v>2.6906065416456996E-14</v>
      </c>
      <c r="F24" s="2">
        <f t="shared" si="1"/>
        <v>7.6471637318198164E-13</v>
      </c>
      <c r="G24" s="2">
        <f t="shared" si="1"/>
        <v>1.1782001660054229E-11</v>
      </c>
      <c r="H24" s="2">
        <f t="shared" si="1"/>
        <v>1.1896546981779797E-10</v>
      </c>
      <c r="I24" s="2">
        <f t="shared" si="1"/>
        <v>8.8165795156646026E-10</v>
      </c>
      <c r="J24" s="2">
        <f t="shared" si="1"/>
        <v>5.1592665433948824E-9</v>
      </c>
      <c r="K24" s="2">
        <f t="shared" si="1"/>
        <v>2.5058226116427131E-8</v>
      </c>
    </row>
    <row r="25" spans="1:11" ht="15.6" x14ac:dyDescent="0.3">
      <c r="A25" s="2">
        <f t="shared" si="3"/>
        <v>17</v>
      </c>
      <c r="B25" s="2">
        <f t="shared" si="2"/>
        <v>3.132278264553402E-25</v>
      </c>
      <c r="C25" s="2">
        <f t="shared" si="2"/>
        <v>2.0527698834577175E-20</v>
      </c>
      <c r="D25" s="2">
        <f t="shared" si="2"/>
        <v>1.3483430854859455E-17</v>
      </c>
      <c r="E25" s="2">
        <f t="shared" si="2"/>
        <v>1.3453032708228498E-15</v>
      </c>
      <c r="F25" s="2">
        <f t="shared" si="2"/>
        <v>4.7794773323873853E-14</v>
      </c>
      <c r="G25" s="2">
        <f t="shared" si="2"/>
        <v>8.83650124504067E-13</v>
      </c>
      <c r="H25" s="2">
        <f t="shared" si="2"/>
        <v>1.0409478609057323E-11</v>
      </c>
      <c r="I25" s="2">
        <f t="shared" si="2"/>
        <v>8.8165795156646023E-11</v>
      </c>
      <c r="J25" s="2">
        <f t="shared" si="2"/>
        <v>5.804174861319241E-10</v>
      </c>
      <c r="K25" s="2">
        <f t="shared" si="2"/>
        <v>3.1322782645533914E-9</v>
      </c>
    </row>
    <row r="26" spans="1:11" ht="15.6" x14ac:dyDescent="0.3">
      <c r="A26" s="2">
        <f t="shared" si="3"/>
        <v>18</v>
      </c>
      <c r="B26" s="2">
        <f t="shared" ref="B26:K28" si="4">((2*B$7)^($A26-1))/FACT($A26-1)</f>
        <v>3.6850332524157673E-27</v>
      </c>
      <c r="C26" s="2">
        <f t="shared" si="4"/>
        <v>4.8300467846063945E-22</v>
      </c>
      <c r="D26" s="2">
        <f t="shared" si="4"/>
        <v>4.7588579487739261E-19</v>
      </c>
      <c r="E26" s="2">
        <f t="shared" si="4"/>
        <v>6.3308389215192934E-17</v>
      </c>
      <c r="F26" s="2">
        <f t="shared" si="4"/>
        <v>2.8114572543455206E-15</v>
      </c>
      <c r="G26" s="2">
        <f t="shared" si="4"/>
        <v>6.237530290616944E-14</v>
      </c>
      <c r="H26" s="2">
        <f t="shared" si="4"/>
        <v>8.5725117956942646E-13</v>
      </c>
      <c r="I26" s="2">
        <f t="shared" si="4"/>
        <v>8.2979571912137424E-12</v>
      </c>
      <c r="J26" s="2">
        <f t="shared" si="4"/>
        <v>6.1455969119850787E-11</v>
      </c>
      <c r="K26" s="2">
        <f t="shared" si="4"/>
        <v>3.685033252415754E-10</v>
      </c>
    </row>
    <row r="27" spans="1:11" ht="15.6" x14ac:dyDescent="0.3">
      <c r="A27" s="2">
        <f t="shared" si="3"/>
        <v>19</v>
      </c>
      <c r="B27" s="2">
        <f t="shared" si="4"/>
        <v>4.094481391573075E-29</v>
      </c>
      <c r="C27" s="2">
        <f t="shared" si="4"/>
        <v>1.0733437299125322E-23</v>
      </c>
      <c r="D27" s="2">
        <f t="shared" si="4"/>
        <v>1.5862859829246423E-20</v>
      </c>
      <c r="E27" s="2">
        <f t="shared" si="4"/>
        <v>2.8137061873419084E-18</v>
      </c>
      <c r="F27" s="2">
        <f t="shared" si="4"/>
        <v>1.5619206968586225E-16</v>
      </c>
      <c r="G27" s="2">
        <f t="shared" si="4"/>
        <v>4.1583535270779625E-15</v>
      </c>
      <c r="H27" s="2">
        <f t="shared" si="4"/>
        <v>6.6675091744288718E-14</v>
      </c>
      <c r="I27" s="2">
        <f t="shared" si="4"/>
        <v>7.375961947745548E-13</v>
      </c>
      <c r="J27" s="2">
        <f t="shared" si="4"/>
        <v>6.1455969119850771E-12</v>
      </c>
      <c r="K27" s="2">
        <f t="shared" si="4"/>
        <v>4.0944813915730597E-11</v>
      </c>
    </row>
    <row r="28" spans="1:11" ht="16.2" thickBot="1" x14ac:dyDescent="0.35">
      <c r="A28" s="2">
        <f t="shared" si="3"/>
        <v>20</v>
      </c>
      <c r="B28" s="2">
        <f t="shared" si="4"/>
        <v>4.3099804121821847E-31</v>
      </c>
      <c r="C28" s="2">
        <f t="shared" si="4"/>
        <v>2.2596710103421732E-25</v>
      </c>
      <c r="D28" s="2">
        <f t="shared" si="4"/>
        <v>5.0093241566041343E-22</v>
      </c>
      <c r="E28" s="2">
        <f t="shared" si="4"/>
        <v>1.1847183946702773E-19</v>
      </c>
      <c r="F28" s="2">
        <f t="shared" si="4"/>
        <v>8.2206352466243295E-18</v>
      </c>
      <c r="G28" s="2">
        <f t="shared" si="4"/>
        <v>2.6263285434176605E-16</v>
      </c>
      <c r="H28" s="2">
        <f t="shared" si="4"/>
        <v>4.9129014969475898E-15</v>
      </c>
      <c r="I28" s="2">
        <f t="shared" si="4"/>
        <v>6.2113363770488834E-14</v>
      </c>
      <c r="J28" s="2">
        <f t="shared" si="4"/>
        <v>5.82214444293323E-13</v>
      </c>
      <c r="K28" s="2">
        <f t="shared" si="4"/>
        <v>4.3099804121821676E-12</v>
      </c>
    </row>
    <row r="29" spans="1:11" ht="16.2" thickBot="1" x14ac:dyDescent="0.35">
      <c r="A29" s="11" t="s">
        <v>2</v>
      </c>
      <c r="B29" s="10">
        <f t="shared" ref="B29:K29" si="5">SUM(B9:B28)</f>
        <v>1.2214027581601696</v>
      </c>
      <c r="C29" s="10">
        <f t="shared" si="5"/>
        <v>1.4918246976412701</v>
      </c>
      <c r="D29" s="10">
        <f t="shared" si="5"/>
        <v>1.8221188003905093</v>
      </c>
      <c r="E29" s="10">
        <f t="shared" si="5"/>
        <v>2.2255409284924679</v>
      </c>
      <c r="F29" s="10">
        <f t="shared" si="5"/>
        <v>2.7182818284590455</v>
      </c>
      <c r="G29" s="10">
        <f t="shared" si="5"/>
        <v>3.3201169227365472</v>
      </c>
      <c r="H29" s="10">
        <f t="shared" si="5"/>
        <v>4.0551999668446745</v>
      </c>
      <c r="I29" s="10">
        <f t="shared" si="5"/>
        <v>4.9530324243951087</v>
      </c>
      <c r="J29" s="10">
        <f t="shared" si="5"/>
        <v>6.0496474644128879</v>
      </c>
      <c r="K29" s="10">
        <f t="shared" si="5"/>
        <v>7.3890560989301726</v>
      </c>
    </row>
    <row r="30" spans="1:11" ht="16.2" thickBot="1" x14ac:dyDescent="0.35">
      <c r="A30" s="11" t="s">
        <v>3</v>
      </c>
      <c r="B30" s="10">
        <f>EXP(2*B$7)</f>
        <v>1.2214027581601699</v>
      </c>
      <c r="C30" s="10">
        <f t="shared" ref="C30:K30" si="6">EXP(2*C$7)</f>
        <v>1.4918246976412703</v>
      </c>
      <c r="D30" s="10">
        <f t="shared" si="6"/>
        <v>1.8221188003905091</v>
      </c>
      <c r="E30" s="10">
        <f t="shared" si="6"/>
        <v>2.2255409284924679</v>
      </c>
      <c r="F30" s="10">
        <f t="shared" si="6"/>
        <v>2.7182818284590451</v>
      </c>
      <c r="G30" s="10">
        <f t="shared" si="6"/>
        <v>3.3201169227365472</v>
      </c>
      <c r="H30" s="10">
        <f t="shared" si="6"/>
        <v>4.0551999668446745</v>
      </c>
      <c r="I30" s="10">
        <f t="shared" si="6"/>
        <v>4.953032424395114</v>
      </c>
      <c r="J30" s="10">
        <f t="shared" si="6"/>
        <v>6.0496474644129448</v>
      </c>
      <c r="K30" s="10">
        <f t="shared" si="6"/>
        <v>7.3890560989306486</v>
      </c>
    </row>
  </sheetData>
  <mergeCells count="14">
    <mergeCell ref="K7:K8"/>
    <mergeCell ref="A1:B1"/>
    <mergeCell ref="A2:J2"/>
    <mergeCell ref="B3:D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conditionalFormatting sqref="B9:K30">
    <cfRule type="cellIs" dxfId="20" priority="2" operator="greaterThan">
      <formula>1.5</formula>
    </cfRule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J50"/>
  <sheetViews>
    <sheetView topLeftCell="A4" zoomScale="74" workbookViewId="0">
      <selection activeCell="B12" sqref="B12"/>
    </sheetView>
  </sheetViews>
  <sheetFormatPr defaultRowHeight="14.4" x14ac:dyDescent="0.3"/>
  <sheetData>
    <row r="1" spans="1:10" ht="15.6" x14ac:dyDescent="0.3">
      <c r="A1" s="21" t="s">
        <v>11</v>
      </c>
      <c r="B1" s="21"/>
      <c r="C1" s="1"/>
      <c r="D1" s="1"/>
      <c r="E1" s="1"/>
      <c r="F1" s="1"/>
      <c r="G1" s="1"/>
      <c r="H1" s="1"/>
      <c r="I1" s="1"/>
      <c r="J1" s="1"/>
    </row>
    <row r="2" spans="1:10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6" x14ac:dyDescent="0.3">
      <c r="A4" s="1"/>
      <c r="B4" s="20"/>
      <c r="C4" s="20"/>
      <c r="D4" s="20"/>
      <c r="E4" s="1"/>
      <c r="F4" s="1"/>
      <c r="G4" s="1"/>
      <c r="H4" s="1"/>
      <c r="I4" s="1"/>
      <c r="J4" s="1"/>
    </row>
    <row r="5" spans="1:10" ht="15.6" x14ac:dyDescent="0.3">
      <c r="A5" s="1"/>
      <c r="B5" s="20"/>
      <c r="C5" s="20"/>
      <c r="D5" s="20"/>
      <c r="E5" s="1"/>
      <c r="F5" s="1"/>
      <c r="G5" s="1"/>
      <c r="H5" s="1"/>
      <c r="I5" s="1"/>
      <c r="J5" s="1"/>
    </row>
    <row r="6" spans="1:10" ht="16.2" thickBot="1" x14ac:dyDescent="0.35">
      <c r="A6" s="1"/>
      <c r="B6" s="13"/>
      <c r="C6" s="13"/>
      <c r="D6" s="1"/>
      <c r="E6" s="1"/>
      <c r="F6" s="1"/>
      <c r="G6" s="1"/>
      <c r="H6" s="1"/>
      <c r="I6" s="1"/>
      <c r="J6" s="1"/>
    </row>
    <row r="7" spans="1:10" ht="14.4" customHeight="1" x14ac:dyDescent="0.3">
      <c r="A7" s="23" t="s">
        <v>20</v>
      </c>
      <c r="B7" s="25">
        <f>PI() / 10</f>
        <v>0.31415926535897931</v>
      </c>
      <c r="C7" s="27">
        <f>B7+PI()/10</f>
        <v>0.62831853071795862</v>
      </c>
      <c r="D7" s="27">
        <f t="shared" ref="D7:J7" si="0">C7+PI()/10</f>
        <v>0.94247779607693793</v>
      </c>
      <c r="E7" s="27">
        <f t="shared" si="0"/>
        <v>1.2566370614359172</v>
      </c>
      <c r="F7" s="27">
        <f t="shared" si="0"/>
        <v>1.5707963267948966</v>
      </c>
      <c r="G7" s="27">
        <f t="shared" si="0"/>
        <v>1.8849555921538759</v>
      </c>
      <c r="H7" s="27">
        <f t="shared" si="0"/>
        <v>2.1991148575128552</v>
      </c>
      <c r="I7" s="27">
        <f t="shared" si="0"/>
        <v>2.5132741228718345</v>
      </c>
      <c r="J7" s="27">
        <f t="shared" si="0"/>
        <v>2.8274333882308138</v>
      </c>
    </row>
    <row r="8" spans="1:10" ht="15" customHeight="1" thickBot="1" x14ac:dyDescent="0.35">
      <c r="A8" s="24"/>
      <c r="B8" s="26"/>
      <c r="C8" s="28"/>
      <c r="D8" s="28"/>
      <c r="E8" s="28"/>
      <c r="F8" s="28"/>
      <c r="G8" s="28"/>
      <c r="H8" s="28"/>
      <c r="I8" s="28"/>
      <c r="J8" s="28"/>
    </row>
    <row r="9" spans="1:10" ht="15.6" x14ac:dyDescent="0.3">
      <c r="A9" s="2">
        <v>1</v>
      </c>
      <c r="B9" s="2">
        <f>SIN(B$7*$A9)/$A9</f>
        <v>0.3090169943749474</v>
      </c>
      <c r="C9" s="2">
        <f t="shared" ref="C9:J24" si="1">SIN(C$7*$A9)/$A9</f>
        <v>0.58778525229247314</v>
      </c>
      <c r="D9" s="2">
        <f t="shared" si="1"/>
        <v>0.80901699437494745</v>
      </c>
      <c r="E9" s="2">
        <f t="shared" si="1"/>
        <v>0.95105651629515353</v>
      </c>
      <c r="F9" s="2">
        <f t="shared" si="1"/>
        <v>1</v>
      </c>
      <c r="G9" s="2">
        <f t="shared" si="1"/>
        <v>0.95105651629515364</v>
      </c>
      <c r="H9" s="2">
        <f t="shared" si="1"/>
        <v>0.80901699437494745</v>
      </c>
      <c r="I9" s="2">
        <f t="shared" si="1"/>
        <v>0.58778525229247325</v>
      </c>
      <c r="J9" s="2">
        <f t="shared" si="1"/>
        <v>0.30901699437494751</v>
      </c>
    </row>
    <row r="10" spans="1:10" ht="15.6" x14ac:dyDescent="0.3">
      <c r="A10" s="2">
        <f>A9+1</f>
        <v>2</v>
      </c>
      <c r="B10" s="2">
        <f t="shared" ref="B10:J25" si="2">SIN(B$7*$A10)/$A10</f>
        <v>0.29389262614623657</v>
      </c>
      <c r="C10" s="2">
        <f t="shared" si="1"/>
        <v>0.47552825814757677</v>
      </c>
      <c r="D10" s="2">
        <f t="shared" si="1"/>
        <v>0.47552825814757682</v>
      </c>
      <c r="E10" s="2">
        <f t="shared" si="1"/>
        <v>0.29389262614623662</v>
      </c>
      <c r="F10" s="2">
        <f t="shared" si="1"/>
        <v>6.1257422745431001E-17</v>
      </c>
      <c r="G10" s="2">
        <f t="shared" si="1"/>
        <v>-0.29389262614623651</v>
      </c>
      <c r="H10" s="2">
        <f t="shared" si="1"/>
        <v>-0.47552825814757677</v>
      </c>
      <c r="I10" s="2">
        <f t="shared" si="1"/>
        <v>-0.47552825814757682</v>
      </c>
      <c r="J10" s="2">
        <f t="shared" si="1"/>
        <v>-0.29389262614623668</v>
      </c>
    </row>
    <row r="11" spans="1:10" ht="15.6" x14ac:dyDescent="0.3">
      <c r="A11" s="2">
        <f t="shared" ref="A11:A48" si="3">A10+1</f>
        <v>3</v>
      </c>
      <c r="B11" s="2">
        <f t="shared" si="2"/>
        <v>0.26967233145831582</v>
      </c>
      <c r="C11" s="2">
        <f t="shared" si="1"/>
        <v>0.31701883876505121</v>
      </c>
      <c r="D11" s="2">
        <f t="shared" si="1"/>
        <v>0.10300566479164917</v>
      </c>
      <c r="E11" s="2">
        <f t="shared" si="1"/>
        <v>-0.19592841743082434</v>
      </c>
      <c r="F11" s="2">
        <f t="shared" si="1"/>
        <v>-0.33333333333333331</v>
      </c>
      <c r="G11" s="2">
        <f t="shared" si="1"/>
        <v>-0.19592841743082445</v>
      </c>
      <c r="H11" s="2">
        <f t="shared" si="1"/>
        <v>0.10300566479164906</v>
      </c>
      <c r="I11" s="2">
        <f t="shared" si="1"/>
        <v>0.31701883876505116</v>
      </c>
      <c r="J11" s="2">
        <f t="shared" si="1"/>
        <v>0.26967233145831587</v>
      </c>
    </row>
    <row r="12" spans="1:10" ht="15.6" x14ac:dyDescent="0.3">
      <c r="A12" s="2">
        <f t="shared" si="3"/>
        <v>4</v>
      </c>
      <c r="B12" s="2">
        <f t="shared" si="2"/>
        <v>0.23776412907378838</v>
      </c>
      <c r="C12" s="2">
        <f t="shared" si="1"/>
        <v>0.14694631307311831</v>
      </c>
      <c r="D12" s="2">
        <f t="shared" si="1"/>
        <v>-0.14694631307311826</v>
      </c>
      <c r="E12" s="2">
        <f t="shared" si="1"/>
        <v>-0.23776412907378841</v>
      </c>
      <c r="F12" s="2">
        <f t="shared" si="1"/>
        <v>-6.1257422745431001E-17</v>
      </c>
      <c r="G12" s="2">
        <f t="shared" si="1"/>
        <v>0.23776412907378838</v>
      </c>
      <c r="H12" s="2">
        <f t="shared" si="1"/>
        <v>0.14694631307311834</v>
      </c>
      <c r="I12" s="2">
        <f t="shared" si="1"/>
        <v>-0.1469463130731182</v>
      </c>
      <c r="J12" s="2">
        <f t="shared" si="1"/>
        <v>-0.23776412907378844</v>
      </c>
    </row>
    <row r="13" spans="1:10" ht="15.6" x14ac:dyDescent="0.3">
      <c r="A13" s="2">
        <f t="shared" si="3"/>
        <v>5</v>
      </c>
      <c r="B13" s="2">
        <f t="shared" si="2"/>
        <v>0.2</v>
      </c>
      <c r="C13" s="2">
        <f t="shared" si="1"/>
        <v>2.45029690981724E-17</v>
      </c>
      <c r="D13" s="2">
        <f t="shared" si="1"/>
        <v>-0.2</v>
      </c>
      <c r="E13" s="2">
        <f t="shared" si="1"/>
        <v>-4.90059381963448E-17</v>
      </c>
      <c r="F13" s="2">
        <f t="shared" si="1"/>
        <v>0.2</v>
      </c>
      <c r="G13" s="2">
        <f t="shared" si="1"/>
        <v>7.3508907294517201E-17</v>
      </c>
      <c r="H13" s="2">
        <f t="shared" si="1"/>
        <v>-0.2</v>
      </c>
      <c r="I13" s="2">
        <f t="shared" si="1"/>
        <v>-9.8011876392689601E-17</v>
      </c>
      <c r="J13" s="2">
        <f t="shared" si="1"/>
        <v>0.2</v>
      </c>
    </row>
    <row r="14" spans="1:10" ht="15.6" x14ac:dyDescent="0.3">
      <c r="A14" s="2">
        <f t="shared" si="3"/>
        <v>6</v>
      </c>
      <c r="B14" s="2">
        <f t="shared" si="2"/>
        <v>0.15850941938252561</v>
      </c>
      <c r="C14" s="2">
        <f t="shared" si="1"/>
        <v>-9.7964208715412171E-2</v>
      </c>
      <c r="D14" s="2">
        <f t="shared" si="1"/>
        <v>-9.7964208715412227E-2</v>
      </c>
      <c r="E14" s="2">
        <f t="shared" si="1"/>
        <v>0.15850941938252558</v>
      </c>
      <c r="F14" s="2">
        <f t="shared" si="1"/>
        <v>6.1257422745431001E-17</v>
      </c>
      <c r="G14" s="2">
        <f t="shared" si="1"/>
        <v>-0.15850941938252563</v>
      </c>
      <c r="H14" s="2">
        <f t="shared" si="1"/>
        <v>9.7964208715412116E-2</v>
      </c>
      <c r="I14" s="2">
        <f t="shared" si="1"/>
        <v>9.7964208715412268E-2</v>
      </c>
      <c r="J14" s="2">
        <f t="shared" si="1"/>
        <v>-0.15850941938252558</v>
      </c>
    </row>
    <row r="15" spans="1:10" ht="15.6" x14ac:dyDescent="0.3">
      <c r="A15" s="2">
        <f t="shared" si="3"/>
        <v>7</v>
      </c>
      <c r="B15" s="2">
        <f t="shared" si="2"/>
        <v>0.11557385633927821</v>
      </c>
      <c r="C15" s="2">
        <f t="shared" si="1"/>
        <v>-0.13586521661359335</v>
      </c>
      <c r="D15" s="2">
        <f t="shared" si="1"/>
        <v>4.4145284910706739E-2</v>
      </c>
      <c r="E15" s="2">
        <f t="shared" si="1"/>
        <v>8.3969321756067625E-2</v>
      </c>
      <c r="F15" s="2">
        <f t="shared" si="1"/>
        <v>-0.14285714285714285</v>
      </c>
      <c r="G15" s="2">
        <f t="shared" si="1"/>
        <v>8.3969321756067528E-2</v>
      </c>
      <c r="H15" s="2">
        <f t="shared" si="1"/>
        <v>4.4145284910706857E-2</v>
      </c>
      <c r="I15" s="2">
        <f t="shared" si="1"/>
        <v>-0.13586521661359338</v>
      </c>
      <c r="J15" s="2">
        <f t="shared" si="1"/>
        <v>0.11557385633927798</v>
      </c>
    </row>
    <row r="16" spans="1:10" ht="15.6" x14ac:dyDescent="0.3">
      <c r="A16" s="2">
        <f t="shared" si="3"/>
        <v>8</v>
      </c>
      <c r="B16" s="2">
        <f t="shared" si="2"/>
        <v>7.3473156536559156E-2</v>
      </c>
      <c r="C16" s="2">
        <f t="shared" si="1"/>
        <v>-0.11888206453689421</v>
      </c>
      <c r="D16" s="2">
        <f t="shared" si="1"/>
        <v>0.11888206453689419</v>
      </c>
      <c r="E16" s="2">
        <f t="shared" si="1"/>
        <v>-7.3473156536559101E-2</v>
      </c>
      <c r="F16" s="2">
        <f t="shared" si="1"/>
        <v>-6.1257422745431001E-17</v>
      </c>
      <c r="G16" s="2">
        <f t="shared" si="1"/>
        <v>7.3473156536559198E-2</v>
      </c>
      <c r="H16" s="2">
        <f t="shared" si="1"/>
        <v>-0.11888206453689422</v>
      </c>
      <c r="I16" s="2">
        <f t="shared" si="1"/>
        <v>0.11888206453689416</v>
      </c>
      <c r="J16" s="2">
        <f t="shared" si="1"/>
        <v>-7.3473156536559059E-2</v>
      </c>
    </row>
    <row r="17" spans="1:10" ht="15.6" x14ac:dyDescent="0.3">
      <c r="A17" s="2">
        <f t="shared" si="3"/>
        <v>9</v>
      </c>
      <c r="B17" s="2">
        <f t="shared" si="2"/>
        <v>3.4335221597216387E-2</v>
      </c>
      <c r="C17" s="2">
        <f t="shared" si="1"/>
        <v>-6.530947247694148E-2</v>
      </c>
      <c r="D17" s="2">
        <f t="shared" si="1"/>
        <v>8.9890777152771967E-2</v>
      </c>
      <c r="E17" s="2">
        <f t="shared" si="1"/>
        <v>-0.10567294625501708</v>
      </c>
      <c r="F17" s="2">
        <f t="shared" si="1"/>
        <v>0.1111111111111111</v>
      </c>
      <c r="G17" s="2">
        <f t="shared" si="1"/>
        <v>-0.10567294625501705</v>
      </c>
      <c r="H17" s="2">
        <f t="shared" si="1"/>
        <v>8.9890777152771772E-2</v>
      </c>
      <c r="I17" s="2">
        <f t="shared" si="1"/>
        <v>-6.5309472476941383E-2</v>
      </c>
      <c r="J17" s="2">
        <f t="shared" si="1"/>
        <v>3.4335221597216463E-2</v>
      </c>
    </row>
    <row r="18" spans="1:10" ht="15.6" x14ac:dyDescent="0.3">
      <c r="A18" s="2">
        <f t="shared" si="3"/>
        <v>10</v>
      </c>
      <c r="B18" s="2">
        <f t="shared" si="2"/>
        <v>1.22514845490862E-17</v>
      </c>
      <c r="C18" s="2">
        <f t="shared" si="1"/>
        <v>-2.45029690981724E-17</v>
      </c>
      <c r="D18" s="2">
        <f t="shared" si="1"/>
        <v>3.67544536472586E-17</v>
      </c>
      <c r="E18" s="2">
        <f t="shared" si="1"/>
        <v>-4.90059381963448E-17</v>
      </c>
      <c r="F18" s="2">
        <f t="shared" si="1"/>
        <v>6.1257422745431001E-17</v>
      </c>
      <c r="G18" s="2">
        <f t="shared" si="1"/>
        <v>-7.3508907294517201E-17</v>
      </c>
      <c r="H18" s="2">
        <f t="shared" si="1"/>
        <v>8.5760391843603401E-17</v>
      </c>
      <c r="I18" s="2">
        <f t="shared" si="1"/>
        <v>-9.8011876392689601E-17</v>
      </c>
      <c r="J18" s="2">
        <f t="shared" si="1"/>
        <v>1.102633609417758E-16</v>
      </c>
    </row>
    <row r="19" spans="1:10" ht="15.6" x14ac:dyDescent="0.3">
      <c r="A19" s="2">
        <f t="shared" si="3"/>
        <v>11</v>
      </c>
      <c r="B19" s="2">
        <f t="shared" si="2"/>
        <v>-2.8092454034086115E-2</v>
      </c>
      <c r="C19" s="2">
        <f t="shared" si="1"/>
        <v>5.3435022935679359E-2</v>
      </c>
      <c r="D19" s="2">
        <f t="shared" si="1"/>
        <v>-7.3546999488631568E-2</v>
      </c>
      <c r="E19" s="2">
        <f t="shared" si="1"/>
        <v>8.6459683299559401E-2</v>
      </c>
      <c r="F19" s="2">
        <f t="shared" si="1"/>
        <v>-9.0909090909090912E-2</v>
      </c>
      <c r="G19" s="2">
        <f t="shared" si="1"/>
        <v>8.6459683299559442E-2</v>
      </c>
      <c r="H19" s="2">
        <f t="shared" si="1"/>
        <v>-7.354699948863154E-2</v>
      </c>
      <c r="I19" s="2">
        <f t="shared" si="1"/>
        <v>5.3435022935679456E-2</v>
      </c>
      <c r="J19" s="2">
        <f t="shared" si="1"/>
        <v>-2.8092454034086389E-2</v>
      </c>
    </row>
    <row r="20" spans="1:10" ht="15.6" x14ac:dyDescent="0.3">
      <c r="A20" s="2">
        <f t="shared" si="3"/>
        <v>12</v>
      </c>
      <c r="B20" s="2">
        <f t="shared" si="2"/>
        <v>-4.8982104357706086E-2</v>
      </c>
      <c r="C20" s="2">
        <f t="shared" si="1"/>
        <v>7.925470969126279E-2</v>
      </c>
      <c r="D20" s="2">
        <f t="shared" si="1"/>
        <v>-7.9254709691262817E-2</v>
      </c>
      <c r="E20" s="2">
        <f t="shared" si="1"/>
        <v>4.8982104357706134E-2</v>
      </c>
      <c r="F20" s="2">
        <f t="shared" si="1"/>
        <v>-6.1257422745431001E-17</v>
      </c>
      <c r="G20" s="2">
        <f t="shared" si="1"/>
        <v>-4.8982104357706037E-2</v>
      </c>
      <c r="H20" s="2">
        <f t="shared" si="1"/>
        <v>7.9254709691262776E-2</v>
      </c>
      <c r="I20" s="2">
        <f t="shared" si="1"/>
        <v>-7.9254709691262831E-2</v>
      </c>
      <c r="J20" s="2">
        <f t="shared" si="1"/>
        <v>4.898210435770619E-2</v>
      </c>
    </row>
    <row r="21" spans="1:10" ht="15.6" x14ac:dyDescent="0.3">
      <c r="A21" s="2">
        <f t="shared" si="3"/>
        <v>13</v>
      </c>
      <c r="B21" s="2">
        <f t="shared" si="2"/>
        <v>-6.2232076490380567E-2</v>
      </c>
      <c r="C21" s="2">
        <f t="shared" si="1"/>
        <v>7.3158193561165666E-2</v>
      </c>
      <c r="D21" s="2">
        <f t="shared" si="1"/>
        <v>-2.3770538028842145E-2</v>
      </c>
      <c r="E21" s="2">
        <f t="shared" si="1"/>
        <v>-4.5214250176344048E-2</v>
      </c>
      <c r="F21" s="2">
        <f t="shared" si="1"/>
        <v>7.6923076923076927E-2</v>
      </c>
      <c r="G21" s="2">
        <f t="shared" si="1"/>
        <v>-4.5214250176344145E-2</v>
      </c>
      <c r="H21" s="2">
        <f t="shared" si="1"/>
        <v>-2.3770538028841898E-2</v>
      </c>
      <c r="I21" s="2">
        <f t="shared" si="1"/>
        <v>7.3158193561165624E-2</v>
      </c>
      <c r="J21" s="2">
        <f t="shared" si="1"/>
        <v>-6.2232076490380553E-2</v>
      </c>
    </row>
    <row r="22" spans="1:10" ht="15.6" x14ac:dyDescent="0.3">
      <c r="A22" s="2">
        <f t="shared" si="3"/>
        <v>14</v>
      </c>
      <c r="B22" s="2">
        <f t="shared" si="2"/>
        <v>-6.7932608306796677E-2</v>
      </c>
      <c r="C22" s="2">
        <f t="shared" si="1"/>
        <v>4.1984660878033812E-2</v>
      </c>
      <c r="D22" s="2">
        <f t="shared" si="1"/>
        <v>4.1984660878033764E-2</v>
      </c>
      <c r="E22" s="2">
        <f t="shared" si="1"/>
        <v>-6.7932608306796691E-2</v>
      </c>
      <c r="F22" s="2">
        <f t="shared" si="1"/>
        <v>6.1257422745431001E-17</v>
      </c>
      <c r="G22" s="2">
        <f t="shared" si="1"/>
        <v>6.7932608306796663E-2</v>
      </c>
      <c r="H22" s="2">
        <f t="shared" si="1"/>
        <v>-4.1984660878033868E-2</v>
      </c>
      <c r="I22" s="2">
        <f t="shared" si="1"/>
        <v>-4.1984660878033715E-2</v>
      </c>
      <c r="J22" s="2">
        <f t="shared" si="1"/>
        <v>6.7932608306796802E-2</v>
      </c>
    </row>
    <row r="23" spans="1:10" ht="15.6" x14ac:dyDescent="0.3">
      <c r="A23" s="2">
        <f t="shared" si="3"/>
        <v>15</v>
      </c>
      <c r="B23" s="2">
        <f t="shared" si="2"/>
        <v>-6.6666666666666666E-2</v>
      </c>
      <c r="C23" s="2">
        <f t="shared" si="1"/>
        <v>2.45029690981724E-17</v>
      </c>
      <c r="D23" s="2">
        <f t="shared" si="1"/>
        <v>6.6666666666666666E-2</v>
      </c>
      <c r="E23" s="2">
        <f t="shared" si="1"/>
        <v>-4.90059381963448E-17</v>
      </c>
      <c r="F23" s="2">
        <f t="shared" si="1"/>
        <v>-6.6666666666666666E-2</v>
      </c>
      <c r="G23" s="2">
        <f t="shared" si="1"/>
        <v>7.3508907294517201E-17</v>
      </c>
      <c r="H23" s="2">
        <f t="shared" si="1"/>
        <v>6.6666666666666666E-2</v>
      </c>
      <c r="I23" s="2">
        <f t="shared" si="1"/>
        <v>-9.8011876392689601E-17</v>
      </c>
      <c r="J23" s="2">
        <f t="shared" si="1"/>
        <v>-6.6666666666666666E-2</v>
      </c>
    </row>
    <row r="24" spans="1:10" ht="15.6" x14ac:dyDescent="0.3">
      <c r="A24" s="2">
        <f t="shared" si="3"/>
        <v>16</v>
      </c>
      <c r="B24" s="2">
        <f t="shared" si="2"/>
        <v>-5.9441032268447103E-2</v>
      </c>
      <c r="C24" s="2">
        <f t="shared" si="1"/>
        <v>-3.673657826827955E-2</v>
      </c>
      <c r="D24" s="2">
        <f t="shared" si="1"/>
        <v>3.6736578268279599E-2</v>
      </c>
      <c r="E24" s="2">
        <f t="shared" si="1"/>
        <v>5.9441032268447082E-2</v>
      </c>
      <c r="F24" s="2">
        <f t="shared" si="1"/>
        <v>-6.1257422745431001E-17</v>
      </c>
      <c r="G24" s="2">
        <f t="shared" si="1"/>
        <v>-5.9441032268447123E-2</v>
      </c>
      <c r="H24" s="2">
        <f t="shared" si="1"/>
        <v>-3.6736578268279502E-2</v>
      </c>
      <c r="I24" s="2">
        <f t="shared" si="1"/>
        <v>3.6736578268279647E-2</v>
      </c>
      <c r="J24" s="2">
        <f t="shared" si="1"/>
        <v>5.9441032268447061E-2</v>
      </c>
    </row>
    <row r="25" spans="1:10" ht="15.6" x14ac:dyDescent="0.3">
      <c r="A25" s="2">
        <f t="shared" si="3"/>
        <v>17</v>
      </c>
      <c r="B25" s="2">
        <f t="shared" si="2"/>
        <v>-4.758923496323221E-2</v>
      </c>
      <c r="C25" s="2">
        <f t="shared" si="2"/>
        <v>-5.5944500958538437E-2</v>
      </c>
      <c r="D25" s="2">
        <f t="shared" si="2"/>
        <v>-1.8177470257349712E-2</v>
      </c>
      <c r="E25" s="2">
        <f t="shared" si="2"/>
        <v>3.4575603076027868E-2</v>
      </c>
      <c r="F25" s="2">
        <f t="shared" si="2"/>
        <v>5.8823529411764705E-2</v>
      </c>
      <c r="G25" s="2">
        <f t="shared" si="2"/>
        <v>3.4575603076027604E-2</v>
      </c>
      <c r="H25" s="2">
        <f t="shared" si="2"/>
        <v>-1.8177470257350031E-2</v>
      </c>
      <c r="I25" s="2">
        <f t="shared" si="2"/>
        <v>-5.5944500958538479E-2</v>
      </c>
      <c r="J25" s="2">
        <f t="shared" si="2"/>
        <v>-4.7589234963232196E-2</v>
      </c>
    </row>
    <row r="26" spans="1:10" ht="15.6" x14ac:dyDescent="0.3">
      <c r="A26" s="2">
        <f t="shared" si="3"/>
        <v>18</v>
      </c>
      <c r="B26" s="2">
        <f t="shared" ref="B26:J41" si="4">SIN(B$7*$A26)/$A26</f>
        <v>-3.265473623847074E-2</v>
      </c>
      <c r="C26" s="2">
        <f t="shared" si="4"/>
        <v>-5.283647312750854E-2</v>
      </c>
      <c r="D26" s="2">
        <f t="shared" si="4"/>
        <v>-5.2836473127508526E-2</v>
      </c>
      <c r="E26" s="2">
        <f t="shared" si="4"/>
        <v>-3.2654736238470691E-2</v>
      </c>
      <c r="F26" s="2">
        <f t="shared" si="4"/>
        <v>6.1257422745431001E-17</v>
      </c>
      <c r="G26" s="2">
        <f t="shared" si="4"/>
        <v>3.2654736238470788E-2</v>
      </c>
      <c r="H26" s="2">
        <f t="shared" si="4"/>
        <v>5.2836473127508624E-2</v>
      </c>
      <c r="I26" s="2">
        <f t="shared" si="4"/>
        <v>5.2836473127508499E-2</v>
      </c>
      <c r="J26" s="2">
        <f t="shared" si="4"/>
        <v>3.2654736238470795E-2</v>
      </c>
    </row>
    <row r="27" spans="1:10" ht="15.6" x14ac:dyDescent="0.3">
      <c r="A27" s="2">
        <f t="shared" si="3"/>
        <v>19</v>
      </c>
      <c r="B27" s="2">
        <f t="shared" si="4"/>
        <v>-1.6264052335523558E-2</v>
      </c>
      <c r="C27" s="2">
        <f t="shared" si="4"/>
        <v>-3.0936065910130182E-2</v>
      </c>
      <c r="D27" s="2">
        <f t="shared" si="4"/>
        <v>-4.2579841809207729E-2</v>
      </c>
      <c r="E27" s="2">
        <f t="shared" si="4"/>
        <v>-5.0055606120797569E-2</v>
      </c>
      <c r="F27" s="2">
        <f t="shared" si="4"/>
        <v>-5.2631578947368418E-2</v>
      </c>
      <c r="G27" s="2">
        <f t="shared" si="4"/>
        <v>-5.005560612079759E-2</v>
      </c>
      <c r="H27" s="2">
        <f t="shared" si="4"/>
        <v>-4.2579841809207764E-2</v>
      </c>
      <c r="I27" s="2">
        <f t="shared" si="4"/>
        <v>-3.0936065910130085E-2</v>
      </c>
      <c r="J27" s="2">
        <f t="shared" si="4"/>
        <v>-1.6264052335523353E-2</v>
      </c>
    </row>
    <row r="28" spans="1:10" ht="15.6" x14ac:dyDescent="0.3">
      <c r="A28" s="2">
        <f t="shared" si="3"/>
        <v>20</v>
      </c>
      <c r="B28" s="2">
        <f t="shared" si="4"/>
        <v>-1.22514845490862E-17</v>
      </c>
      <c r="C28" s="2">
        <f t="shared" si="4"/>
        <v>-2.45029690981724E-17</v>
      </c>
      <c r="D28" s="2">
        <f t="shared" si="4"/>
        <v>-3.67544536472586E-17</v>
      </c>
      <c r="E28" s="2">
        <f t="shared" si="4"/>
        <v>-4.90059381963448E-17</v>
      </c>
      <c r="F28" s="2">
        <f t="shared" si="4"/>
        <v>-6.1257422745431001E-17</v>
      </c>
      <c r="G28" s="2">
        <f t="shared" si="4"/>
        <v>-7.3508907294517201E-17</v>
      </c>
      <c r="H28" s="2">
        <f t="shared" si="4"/>
        <v>-8.5760391843603401E-17</v>
      </c>
      <c r="I28" s="2">
        <f t="shared" si="4"/>
        <v>-9.8011876392689601E-17</v>
      </c>
      <c r="J28" s="2">
        <f t="shared" si="4"/>
        <v>-1.102633609417758E-16</v>
      </c>
    </row>
    <row r="29" spans="1:10" ht="15.6" x14ac:dyDescent="0.3">
      <c r="A29" s="2">
        <f t="shared" si="3"/>
        <v>21</v>
      </c>
      <c r="B29" s="2">
        <f t="shared" si="4"/>
        <v>1.4715094970235579E-2</v>
      </c>
      <c r="C29" s="2">
        <f t="shared" si="4"/>
        <v>2.7989773918689176E-2</v>
      </c>
      <c r="D29" s="2">
        <f t="shared" si="4"/>
        <v>3.852461877975933E-2</v>
      </c>
      <c r="E29" s="2">
        <f t="shared" si="4"/>
        <v>4.5288405537864444E-2</v>
      </c>
      <c r="F29" s="2">
        <f t="shared" si="4"/>
        <v>4.7619047619047616E-2</v>
      </c>
      <c r="G29" s="2">
        <f t="shared" si="4"/>
        <v>4.5288405537864534E-2</v>
      </c>
      <c r="H29" s="2">
        <f t="shared" si="4"/>
        <v>3.8524618779759504E-2</v>
      </c>
      <c r="I29" s="2">
        <f t="shared" si="4"/>
        <v>2.7989773918689276E-2</v>
      </c>
      <c r="J29" s="2">
        <f t="shared" si="4"/>
        <v>1.4715094970235617E-2</v>
      </c>
    </row>
    <row r="30" spans="1:10" ht="15.6" x14ac:dyDescent="0.3">
      <c r="A30" s="2">
        <f t="shared" si="3"/>
        <v>22</v>
      </c>
      <c r="B30" s="2">
        <f t="shared" si="4"/>
        <v>2.671751146783968E-2</v>
      </c>
      <c r="C30" s="2">
        <f t="shared" si="4"/>
        <v>4.32298416497797E-2</v>
      </c>
      <c r="D30" s="2">
        <f t="shared" si="4"/>
        <v>4.3229841649779721E-2</v>
      </c>
      <c r="E30" s="2">
        <f t="shared" si="4"/>
        <v>2.6717511467839728E-2</v>
      </c>
      <c r="F30" s="2">
        <f t="shared" si="4"/>
        <v>2.2274440814545377E-16</v>
      </c>
      <c r="G30" s="2">
        <f t="shared" si="4"/>
        <v>-2.6717511467839627E-2</v>
      </c>
      <c r="H30" s="2">
        <f t="shared" si="4"/>
        <v>-4.3229841649779728E-2</v>
      </c>
      <c r="I30" s="2">
        <f t="shared" si="4"/>
        <v>-4.3229841649779735E-2</v>
      </c>
      <c r="J30" s="2">
        <f t="shared" si="4"/>
        <v>-2.6717511467839905E-2</v>
      </c>
    </row>
    <row r="31" spans="1:10" ht="15.6" x14ac:dyDescent="0.3">
      <c r="A31" s="2">
        <f t="shared" si="3"/>
        <v>23</v>
      </c>
      <c r="B31" s="2">
        <f t="shared" si="4"/>
        <v>3.5174651929345532E-2</v>
      </c>
      <c r="C31" s="2">
        <f t="shared" si="4"/>
        <v>4.1350283317180596E-2</v>
      </c>
      <c r="D31" s="2">
        <f t="shared" si="4"/>
        <v>1.3435521494562895E-2</v>
      </c>
      <c r="E31" s="2">
        <f t="shared" si="4"/>
        <v>-2.5555880534455316E-2</v>
      </c>
      <c r="F31" s="2">
        <f t="shared" si="4"/>
        <v>-4.3478260869565216E-2</v>
      </c>
      <c r="G31" s="2">
        <f t="shared" si="4"/>
        <v>-2.5555880534455285E-2</v>
      </c>
      <c r="H31" s="2">
        <f t="shared" si="4"/>
        <v>1.3435521494562922E-2</v>
      </c>
      <c r="I31" s="2">
        <f t="shared" si="4"/>
        <v>4.1350283317180561E-2</v>
      </c>
      <c r="J31" s="2">
        <f t="shared" si="4"/>
        <v>3.517465192934565E-2</v>
      </c>
    </row>
    <row r="32" spans="1:10" ht="15.6" x14ac:dyDescent="0.3">
      <c r="A32" s="2">
        <f t="shared" si="3"/>
        <v>24</v>
      </c>
      <c r="B32" s="2">
        <f t="shared" si="4"/>
        <v>3.9627354845631395E-2</v>
      </c>
      <c r="C32" s="2">
        <f t="shared" si="4"/>
        <v>2.4491052178853067E-2</v>
      </c>
      <c r="D32" s="2">
        <f t="shared" si="4"/>
        <v>-2.4491052178853018E-2</v>
      </c>
      <c r="E32" s="2">
        <f t="shared" si="4"/>
        <v>-3.9627354845631416E-2</v>
      </c>
      <c r="F32" s="2">
        <f t="shared" si="4"/>
        <v>-6.1257422745431001E-17</v>
      </c>
      <c r="G32" s="2">
        <f t="shared" si="4"/>
        <v>3.9627354845631374E-2</v>
      </c>
      <c r="H32" s="2">
        <f t="shared" si="4"/>
        <v>2.4491052178853116E-2</v>
      </c>
      <c r="I32" s="2">
        <f t="shared" si="4"/>
        <v>-2.449105217885297E-2</v>
      </c>
      <c r="J32" s="2">
        <f t="shared" si="4"/>
        <v>-3.9627354845631436E-2</v>
      </c>
    </row>
    <row r="33" spans="1:10" ht="15.6" x14ac:dyDescent="0.3">
      <c r="A33" s="2">
        <f t="shared" si="3"/>
        <v>25</v>
      </c>
      <c r="B33" s="2">
        <f t="shared" si="4"/>
        <v>0.04</v>
      </c>
      <c r="C33" s="2">
        <f t="shared" si="4"/>
        <v>2.45029690981724E-17</v>
      </c>
      <c r="D33" s="2">
        <f t="shared" si="4"/>
        <v>-0.04</v>
      </c>
      <c r="E33" s="2">
        <f t="shared" si="4"/>
        <v>-4.90059381963448E-17</v>
      </c>
      <c r="F33" s="2">
        <f t="shared" si="4"/>
        <v>0.04</v>
      </c>
      <c r="G33" s="2">
        <f t="shared" si="4"/>
        <v>2.1561745444653724E-16</v>
      </c>
      <c r="H33" s="2">
        <f t="shared" si="4"/>
        <v>-0.04</v>
      </c>
      <c r="I33" s="2">
        <f t="shared" si="4"/>
        <v>-9.8011876392689601E-17</v>
      </c>
      <c r="J33" s="2">
        <f t="shared" si="4"/>
        <v>0.04</v>
      </c>
    </row>
    <row r="34" spans="1:10" ht="15.6" x14ac:dyDescent="0.3">
      <c r="A34" s="2">
        <f t="shared" si="3"/>
        <v>26</v>
      </c>
      <c r="B34" s="2">
        <f t="shared" si="4"/>
        <v>3.6579096780582833E-2</v>
      </c>
      <c r="C34" s="2">
        <f t="shared" si="4"/>
        <v>-2.2607125088172024E-2</v>
      </c>
      <c r="D34" s="2">
        <f t="shared" si="4"/>
        <v>-2.2607125088172073E-2</v>
      </c>
      <c r="E34" s="2">
        <f t="shared" si="4"/>
        <v>3.6579096780582812E-2</v>
      </c>
      <c r="F34" s="2">
        <f t="shared" si="4"/>
        <v>-7.5385411054588261E-17</v>
      </c>
      <c r="G34" s="2">
        <f t="shared" si="4"/>
        <v>-3.6579096780582854E-2</v>
      </c>
      <c r="H34" s="2">
        <f t="shared" si="4"/>
        <v>2.2607125088171864E-2</v>
      </c>
      <c r="I34" s="2">
        <f t="shared" si="4"/>
        <v>2.2607125088172121E-2</v>
      </c>
      <c r="J34" s="2">
        <f t="shared" si="4"/>
        <v>-3.657909678058284E-2</v>
      </c>
    </row>
    <row r="35" spans="1:10" ht="15.6" x14ac:dyDescent="0.3">
      <c r="A35" s="2">
        <f t="shared" si="3"/>
        <v>27</v>
      </c>
      <c r="B35" s="2">
        <f t="shared" si="4"/>
        <v>2.9963592384257321E-2</v>
      </c>
      <c r="C35" s="2">
        <f t="shared" si="4"/>
        <v>-3.5224315418339015E-2</v>
      </c>
      <c r="D35" s="2">
        <f t="shared" si="4"/>
        <v>1.1445073865738821E-2</v>
      </c>
      <c r="E35" s="2">
        <f t="shared" si="4"/>
        <v>2.1769824158980527E-2</v>
      </c>
      <c r="F35" s="2">
        <f t="shared" si="4"/>
        <v>-3.7037037037037035E-2</v>
      </c>
      <c r="G35" s="2">
        <f t="shared" si="4"/>
        <v>2.176982415898053E-2</v>
      </c>
      <c r="H35" s="2">
        <f t="shared" si="4"/>
        <v>1.1445073865738812E-2</v>
      </c>
      <c r="I35" s="2">
        <f t="shared" si="4"/>
        <v>-3.522431541833905E-2</v>
      </c>
      <c r="J35" s="2">
        <f t="shared" si="4"/>
        <v>2.9963592384257363E-2</v>
      </c>
    </row>
    <row r="36" spans="1:10" ht="15.6" x14ac:dyDescent="0.3">
      <c r="A36" s="2">
        <f t="shared" si="3"/>
        <v>28</v>
      </c>
      <c r="B36" s="2">
        <f t="shared" si="4"/>
        <v>2.0992330439016906E-2</v>
      </c>
      <c r="C36" s="2">
        <f t="shared" si="4"/>
        <v>-3.3966304153398345E-2</v>
      </c>
      <c r="D36" s="2">
        <f t="shared" si="4"/>
        <v>3.3966304153398331E-2</v>
      </c>
      <c r="E36" s="2">
        <f t="shared" si="4"/>
        <v>-2.0992330439016858E-2</v>
      </c>
      <c r="F36" s="2">
        <f t="shared" si="4"/>
        <v>-6.1257422745431001E-17</v>
      </c>
      <c r="G36" s="2">
        <f t="shared" si="4"/>
        <v>2.0992330439016958E-2</v>
      </c>
      <c r="H36" s="2">
        <f t="shared" si="4"/>
        <v>-3.3966304153398366E-2</v>
      </c>
      <c r="I36" s="2">
        <f t="shared" si="4"/>
        <v>3.3966304153398311E-2</v>
      </c>
      <c r="J36" s="2">
        <f t="shared" si="4"/>
        <v>-2.0992330439016604E-2</v>
      </c>
    </row>
    <row r="37" spans="1:10" ht="15.6" x14ac:dyDescent="0.3">
      <c r="A37" s="2">
        <f t="shared" si="3"/>
        <v>29</v>
      </c>
      <c r="B37" s="2">
        <f t="shared" si="4"/>
        <v>1.0655758426722338E-2</v>
      </c>
      <c r="C37" s="2">
        <f t="shared" si="4"/>
        <v>-2.026845697560254E-2</v>
      </c>
      <c r="D37" s="2">
        <f t="shared" si="4"/>
        <v>2.7897137737067212E-2</v>
      </c>
      <c r="E37" s="2">
        <f t="shared" si="4"/>
        <v>-3.2795052286039794E-2</v>
      </c>
      <c r="F37" s="2">
        <f t="shared" si="4"/>
        <v>3.4482758620689655E-2</v>
      </c>
      <c r="G37" s="2">
        <f t="shared" si="4"/>
        <v>-3.2795052286039718E-2</v>
      </c>
      <c r="H37" s="2">
        <f t="shared" si="4"/>
        <v>2.7897137737067066E-2</v>
      </c>
      <c r="I37" s="2">
        <f t="shared" si="4"/>
        <v>-2.0268456975602443E-2</v>
      </c>
      <c r="J37" s="2">
        <f t="shared" si="4"/>
        <v>1.0655758426722044E-2</v>
      </c>
    </row>
    <row r="38" spans="1:10" ht="15.6" x14ac:dyDescent="0.3">
      <c r="A38" s="2">
        <f t="shared" si="3"/>
        <v>30</v>
      </c>
      <c r="B38" s="2">
        <f t="shared" si="4"/>
        <v>1.22514845490862E-17</v>
      </c>
      <c r="C38" s="2">
        <f t="shared" si="4"/>
        <v>-2.45029690981724E-17</v>
      </c>
      <c r="D38" s="2">
        <f t="shared" si="4"/>
        <v>3.67544536472586E-17</v>
      </c>
      <c r="E38" s="2">
        <f t="shared" si="4"/>
        <v>-4.90059381963448E-17</v>
      </c>
      <c r="F38" s="2">
        <f t="shared" si="4"/>
        <v>1.7968121203878103E-16</v>
      </c>
      <c r="G38" s="2">
        <f t="shared" si="4"/>
        <v>-7.3508907294517201E-17</v>
      </c>
      <c r="H38" s="2">
        <f t="shared" si="4"/>
        <v>-3.2663397449746629E-17</v>
      </c>
      <c r="I38" s="2">
        <f t="shared" si="4"/>
        <v>-9.8011876392689601E-17</v>
      </c>
      <c r="J38" s="2">
        <f t="shared" si="4"/>
        <v>2.2868715023512585E-16</v>
      </c>
    </row>
    <row r="39" spans="1:10" ht="15.6" x14ac:dyDescent="0.3">
      <c r="A39" s="2">
        <f t="shared" si="3"/>
        <v>31</v>
      </c>
      <c r="B39" s="2">
        <f t="shared" si="4"/>
        <v>-9.9682901411273245E-3</v>
      </c>
      <c r="C39" s="2">
        <f t="shared" si="4"/>
        <v>1.8960814590079759E-2</v>
      </c>
      <c r="D39" s="2">
        <f t="shared" si="4"/>
        <v>-2.6097322399191863E-2</v>
      </c>
      <c r="E39" s="2">
        <f t="shared" si="4"/>
        <v>3.067924246113397E-2</v>
      </c>
      <c r="F39" s="2">
        <f t="shared" si="4"/>
        <v>-3.2258064516129031E-2</v>
      </c>
      <c r="G39" s="2">
        <f t="shared" si="4"/>
        <v>3.0679242461133974E-2</v>
      </c>
      <c r="H39" s="2">
        <f t="shared" si="4"/>
        <v>-2.6097322399191866E-2</v>
      </c>
      <c r="I39" s="2">
        <f t="shared" si="4"/>
        <v>1.8960814590079856E-2</v>
      </c>
      <c r="J39" s="2">
        <f t="shared" si="4"/>
        <v>-9.9682901411274963E-3</v>
      </c>
    </row>
    <row r="40" spans="1:10" ht="15.6" x14ac:dyDescent="0.3">
      <c r="A40" s="2">
        <f t="shared" si="3"/>
        <v>32</v>
      </c>
      <c r="B40" s="2">
        <f t="shared" si="4"/>
        <v>-1.8368289134139775E-2</v>
      </c>
      <c r="C40" s="2">
        <f t="shared" si="4"/>
        <v>2.9720516134223541E-2</v>
      </c>
      <c r="D40" s="2">
        <f t="shared" si="4"/>
        <v>-2.9720516134223562E-2</v>
      </c>
      <c r="E40" s="2">
        <f t="shared" si="4"/>
        <v>1.8368289134139824E-2</v>
      </c>
      <c r="F40" s="2">
        <f t="shared" si="4"/>
        <v>-6.1257422745431001E-17</v>
      </c>
      <c r="G40" s="2">
        <f t="shared" si="4"/>
        <v>-1.8368289134139727E-2</v>
      </c>
      <c r="H40" s="2">
        <f t="shared" si="4"/>
        <v>2.9720516134223524E-2</v>
      </c>
      <c r="I40" s="2">
        <f t="shared" si="4"/>
        <v>-2.9720516134223579E-2</v>
      </c>
      <c r="J40" s="2">
        <f t="shared" si="4"/>
        <v>1.8368289134139876E-2</v>
      </c>
    </row>
    <row r="41" spans="1:10" ht="15.6" x14ac:dyDescent="0.3">
      <c r="A41" s="2">
        <f t="shared" si="3"/>
        <v>33</v>
      </c>
      <c r="B41" s="2">
        <f t="shared" si="4"/>
        <v>-2.4515666496210523E-2</v>
      </c>
      <c r="C41" s="2">
        <f t="shared" si="4"/>
        <v>2.8819894433186482E-2</v>
      </c>
      <c r="D41" s="2">
        <f t="shared" si="4"/>
        <v>-9.3641513446954625E-3</v>
      </c>
      <c r="E41" s="2">
        <f t="shared" si="4"/>
        <v>-1.7811674311893084E-2</v>
      </c>
      <c r="F41" s="2">
        <f t="shared" si="4"/>
        <v>3.0303030303030304E-2</v>
      </c>
      <c r="G41" s="2">
        <f t="shared" si="4"/>
        <v>-1.7811674311893271E-2</v>
      </c>
      <c r="H41" s="2">
        <f t="shared" si="4"/>
        <v>-9.3641513446952439E-3</v>
      </c>
      <c r="I41" s="2">
        <f t="shared" si="4"/>
        <v>2.881989443318644E-2</v>
      </c>
      <c r="J41" s="2">
        <f t="shared" si="4"/>
        <v>-2.4515666496210564E-2</v>
      </c>
    </row>
    <row r="42" spans="1:10" ht="15.6" x14ac:dyDescent="0.3">
      <c r="A42" s="2">
        <f t="shared" si="3"/>
        <v>34</v>
      </c>
      <c r="B42" s="2">
        <f t="shared" ref="B42:J48" si="5">SIN(B$7*$A42)/$A42</f>
        <v>-2.7972250479269219E-2</v>
      </c>
      <c r="C42" s="2">
        <f t="shared" si="5"/>
        <v>1.7287801538013934E-2</v>
      </c>
      <c r="D42" s="2">
        <f t="shared" si="5"/>
        <v>1.7287801538013802E-2</v>
      </c>
      <c r="E42" s="2">
        <f t="shared" si="5"/>
        <v>-2.7972250479269239E-2</v>
      </c>
      <c r="F42" s="2">
        <f t="shared" si="5"/>
        <v>-4.3234156042819025E-17</v>
      </c>
      <c r="G42" s="2">
        <f t="shared" si="5"/>
        <v>2.7972250479269135E-2</v>
      </c>
      <c r="H42" s="2">
        <f t="shared" si="5"/>
        <v>-1.7287801538014069E-2</v>
      </c>
      <c r="I42" s="2">
        <f t="shared" si="5"/>
        <v>-1.7287801538013837E-2</v>
      </c>
      <c r="J42" s="2">
        <f t="shared" si="5"/>
        <v>2.7972250479269226E-2</v>
      </c>
    </row>
    <row r="43" spans="1:10" ht="15.6" x14ac:dyDescent="0.3">
      <c r="A43" s="2">
        <f t="shared" si="3"/>
        <v>35</v>
      </c>
      <c r="B43" s="2">
        <f t="shared" si="5"/>
        <v>-2.8571428571428571E-2</v>
      </c>
      <c r="C43" s="2">
        <f t="shared" si="5"/>
        <v>2.45029690981724E-17</v>
      </c>
      <c r="D43" s="2">
        <f t="shared" si="5"/>
        <v>2.8571428571428571E-2</v>
      </c>
      <c r="E43" s="2">
        <f t="shared" si="5"/>
        <v>-4.90059381963448E-17</v>
      </c>
      <c r="F43" s="2">
        <f t="shared" si="5"/>
        <v>-2.8571428571428571E-2</v>
      </c>
      <c r="G43" s="2">
        <f t="shared" si="5"/>
        <v>-2.7997197814068543E-17</v>
      </c>
      <c r="H43" s="2">
        <f t="shared" si="5"/>
        <v>2.8571428571428571E-2</v>
      </c>
      <c r="I43" s="2">
        <f t="shared" si="5"/>
        <v>-9.8011876392689601E-17</v>
      </c>
      <c r="J43" s="2">
        <f t="shared" si="5"/>
        <v>-2.8571428571428571E-2</v>
      </c>
    </row>
    <row r="44" spans="1:10" ht="15.6" x14ac:dyDescent="0.3">
      <c r="A44" s="2">
        <f t="shared" si="3"/>
        <v>36</v>
      </c>
      <c r="B44" s="2">
        <f t="shared" si="5"/>
        <v>-2.641823656375427E-2</v>
      </c>
      <c r="C44" s="2">
        <f t="shared" si="5"/>
        <v>-1.6327368119235346E-2</v>
      </c>
      <c r="D44" s="2">
        <f t="shared" si="5"/>
        <v>1.6327368119235394E-2</v>
      </c>
      <c r="E44" s="2">
        <f t="shared" si="5"/>
        <v>2.6418236563754249E-2</v>
      </c>
      <c r="F44" s="2">
        <f t="shared" si="5"/>
        <v>-6.1257422745431001E-17</v>
      </c>
      <c r="G44" s="2">
        <f t="shared" si="5"/>
        <v>-2.6418236563754291E-2</v>
      </c>
      <c r="H44" s="2">
        <f t="shared" si="5"/>
        <v>-1.6327368119235137E-2</v>
      </c>
      <c r="I44" s="2">
        <f t="shared" si="5"/>
        <v>1.6327368119235446E-2</v>
      </c>
      <c r="J44" s="2">
        <f t="shared" si="5"/>
        <v>2.6418236563754291E-2</v>
      </c>
    </row>
    <row r="45" spans="1:10" ht="15.6" x14ac:dyDescent="0.3">
      <c r="A45" s="2">
        <f t="shared" si="3"/>
        <v>37</v>
      </c>
      <c r="B45" s="2">
        <f t="shared" si="5"/>
        <v>-2.1865324172295884E-2</v>
      </c>
      <c r="C45" s="2">
        <f t="shared" si="5"/>
        <v>-2.5704230170139279E-2</v>
      </c>
      <c r="D45" s="2">
        <f t="shared" si="5"/>
        <v>-8.3518106587822834E-3</v>
      </c>
      <c r="E45" s="2">
        <f t="shared" si="5"/>
        <v>1.5886087899796609E-2</v>
      </c>
      <c r="F45" s="2">
        <f t="shared" si="5"/>
        <v>2.7027027027027029E-2</v>
      </c>
      <c r="G45" s="2">
        <f t="shared" si="5"/>
        <v>1.5886087899796432E-2</v>
      </c>
      <c r="H45" s="2">
        <f t="shared" si="5"/>
        <v>-8.3518106587823077E-3</v>
      </c>
      <c r="I45" s="2">
        <f t="shared" si="5"/>
        <v>-2.5704230170139314E-2</v>
      </c>
      <c r="J45" s="2">
        <f t="shared" si="5"/>
        <v>-2.1865324172295728E-2</v>
      </c>
    </row>
    <row r="46" spans="1:10" ht="15.6" x14ac:dyDescent="0.3">
      <c r="A46" s="2">
        <f t="shared" si="3"/>
        <v>38</v>
      </c>
      <c r="B46" s="2">
        <f t="shared" si="5"/>
        <v>-1.5468032955065091E-2</v>
      </c>
      <c r="C46" s="2">
        <f t="shared" si="5"/>
        <v>-2.5027803060398784E-2</v>
      </c>
      <c r="D46" s="2">
        <f t="shared" si="5"/>
        <v>-2.5027803060398795E-2</v>
      </c>
      <c r="E46" s="2">
        <f t="shared" si="5"/>
        <v>-1.5468032955065042E-2</v>
      </c>
      <c r="F46" s="2">
        <f t="shared" si="5"/>
        <v>1.5474988797702313E-16</v>
      </c>
      <c r="G46" s="2">
        <f t="shared" si="5"/>
        <v>1.5468032955064992E-2</v>
      </c>
      <c r="H46" s="2">
        <f t="shared" si="5"/>
        <v>2.5027803060398778E-2</v>
      </c>
      <c r="I46" s="2">
        <f t="shared" si="5"/>
        <v>2.5027803060398746E-2</v>
      </c>
      <c r="J46" s="2">
        <f t="shared" si="5"/>
        <v>1.5468032955064919E-2</v>
      </c>
    </row>
    <row r="47" spans="1:10" ht="15.6" x14ac:dyDescent="0.3">
      <c r="A47" s="2">
        <f t="shared" si="3"/>
        <v>39</v>
      </c>
      <c r="B47" s="2">
        <f t="shared" si="5"/>
        <v>-7.9235126762807161E-3</v>
      </c>
      <c r="C47" s="2">
        <f t="shared" si="5"/>
        <v>-1.507141672544805E-2</v>
      </c>
      <c r="D47" s="2">
        <f t="shared" si="5"/>
        <v>-2.0744025496793519E-2</v>
      </c>
      <c r="E47" s="2">
        <f t="shared" si="5"/>
        <v>-2.4386064520388568E-2</v>
      </c>
      <c r="F47" s="2">
        <f t="shared" si="5"/>
        <v>-2.564102564102564E-2</v>
      </c>
      <c r="G47" s="2">
        <f t="shared" si="5"/>
        <v>-2.4386064520388558E-2</v>
      </c>
      <c r="H47" s="2">
        <f t="shared" si="5"/>
        <v>-2.0744025496793498E-2</v>
      </c>
      <c r="I47" s="2">
        <f t="shared" si="5"/>
        <v>-1.5071416725447949E-2</v>
      </c>
      <c r="J47" s="2">
        <f t="shared" si="5"/>
        <v>-7.9235126762805547E-3</v>
      </c>
    </row>
    <row r="48" spans="1:10" ht="16.2" thickBot="1" x14ac:dyDescent="0.35">
      <c r="A48" s="3">
        <f t="shared" si="3"/>
        <v>40</v>
      </c>
      <c r="B48" s="2">
        <f t="shared" si="5"/>
        <v>-1.22514845490862E-17</v>
      </c>
      <c r="C48" s="2">
        <f t="shared" si="5"/>
        <v>-2.45029690981724E-17</v>
      </c>
      <c r="D48" s="2">
        <f t="shared" si="5"/>
        <v>-3.67544536472586E-17</v>
      </c>
      <c r="E48" s="2">
        <f t="shared" si="5"/>
        <v>-4.90059381963448E-17</v>
      </c>
      <c r="F48" s="2">
        <f t="shared" si="5"/>
        <v>-6.1257422745431001E-17</v>
      </c>
      <c r="G48" s="2">
        <f t="shared" si="5"/>
        <v>-7.3508907294517201E-17</v>
      </c>
      <c r="H48" s="2">
        <f t="shared" si="5"/>
        <v>-8.5760391843603401E-17</v>
      </c>
      <c r="I48" s="2">
        <f t="shared" si="5"/>
        <v>-9.8011876392689601E-17</v>
      </c>
      <c r="J48" s="2">
        <f t="shared" si="5"/>
        <v>-1.102633609417758E-16</v>
      </c>
    </row>
    <row r="49" spans="1:10" ht="16.2" thickBot="1" x14ac:dyDescent="0.35">
      <c r="A49" s="11" t="s">
        <v>2</v>
      </c>
      <c r="B49" s="10">
        <f>SUM(B9:B48)</f>
        <v>1.3357371293016183</v>
      </c>
      <c r="C49" s="10">
        <f t="shared" ref="C49:J49" si="6">SUM(C9:C48)</f>
        <v>1.2182896267863359</v>
      </c>
      <c r="D49" s="10">
        <f t="shared" si="6"/>
        <v>1.0750616850840666</v>
      </c>
      <c r="E49" s="10">
        <f t="shared" si="6"/>
        <v>0.92528851007545876</v>
      </c>
      <c r="F49" s="10">
        <f t="shared" si="6"/>
        <v>0.77290595166695952</v>
      </c>
      <c r="G49" s="10">
        <f t="shared" si="6"/>
        <v>0.61924107562218922</v>
      </c>
      <c r="H49" s="10">
        <f t="shared" si="6"/>
        <v>0.4648723326395417</v>
      </c>
      <c r="I49" s="10">
        <f t="shared" si="6"/>
        <v>0.31009917034321038</v>
      </c>
      <c r="J49" s="10">
        <f t="shared" si="6"/>
        <v>0.15510046056455518</v>
      </c>
    </row>
    <row r="50" spans="1:10" ht="16.2" thickBot="1" x14ac:dyDescent="0.35">
      <c r="A50" s="11" t="s">
        <v>3</v>
      </c>
      <c r="B50" s="10">
        <f>PI()/4</f>
        <v>0.78539816339744828</v>
      </c>
      <c r="C50" s="10">
        <f t="shared" ref="C50:J50" si="7">PI()/4</f>
        <v>0.78539816339744828</v>
      </c>
      <c r="D50" s="10">
        <f t="shared" si="7"/>
        <v>0.78539816339744828</v>
      </c>
      <c r="E50" s="10">
        <f t="shared" si="7"/>
        <v>0.78539816339744828</v>
      </c>
      <c r="F50" s="10">
        <f t="shared" si="7"/>
        <v>0.78539816339744828</v>
      </c>
      <c r="G50" s="10">
        <f t="shared" si="7"/>
        <v>0.78539816339744828</v>
      </c>
      <c r="H50" s="10">
        <f t="shared" si="7"/>
        <v>0.78539816339744828</v>
      </c>
      <c r="I50" s="10">
        <f t="shared" si="7"/>
        <v>0.78539816339744828</v>
      </c>
      <c r="J50" s="10">
        <f t="shared" si="7"/>
        <v>0.78539816339744828</v>
      </c>
    </row>
  </sheetData>
  <mergeCells count="13">
    <mergeCell ref="A1:B1"/>
    <mergeCell ref="A2:J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B4:D5"/>
  </mergeCells>
  <conditionalFormatting sqref="B9:J50">
    <cfRule type="cellIs" dxfId="18" priority="2" operator="greaterThan">
      <formula>1.5</formula>
    </cfRule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M18"/>
  <sheetViews>
    <sheetView topLeftCell="A5" zoomScale="79" workbookViewId="0">
      <selection activeCell="B12" sqref="B12"/>
    </sheetView>
  </sheetViews>
  <sheetFormatPr defaultRowHeight="14.4" x14ac:dyDescent="0.3"/>
  <sheetData>
    <row r="1" spans="1:13" ht="15.6" x14ac:dyDescent="0.3">
      <c r="A1" s="21" t="s">
        <v>12</v>
      </c>
      <c r="B1" s="2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6" x14ac:dyDescent="0.3">
      <c r="A4" s="1"/>
      <c r="B4" s="20"/>
      <c r="C4" s="20"/>
      <c r="D4" s="20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1"/>
      <c r="B5" s="20"/>
      <c r="C5" s="20"/>
      <c r="D5" s="20"/>
      <c r="E5" s="1"/>
      <c r="F5" s="1"/>
      <c r="G5" s="1"/>
      <c r="H5" s="1"/>
      <c r="I5" s="1"/>
      <c r="J5" s="1"/>
      <c r="K5" s="1"/>
      <c r="L5" s="1"/>
      <c r="M5" s="1"/>
    </row>
    <row r="6" spans="1:13" ht="16.2" thickBot="1" x14ac:dyDescent="0.35">
      <c r="A6" s="1"/>
      <c r="B6" s="33"/>
      <c r="C6" s="3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3" t="s">
        <v>22</v>
      </c>
      <c r="B7" s="25">
        <v>1</v>
      </c>
      <c r="C7" s="27">
        <f t="shared" ref="C7:K7" si="0">B7+1</f>
        <v>2</v>
      </c>
      <c r="D7" s="29">
        <f t="shared" si="0"/>
        <v>3</v>
      </c>
      <c r="E7" s="25">
        <f t="shared" si="0"/>
        <v>4</v>
      </c>
      <c r="F7" s="29">
        <f t="shared" si="0"/>
        <v>5</v>
      </c>
      <c r="G7" s="27">
        <f t="shared" si="0"/>
        <v>6</v>
      </c>
      <c r="H7" s="31">
        <f t="shared" si="0"/>
        <v>7</v>
      </c>
      <c r="I7" s="31">
        <f t="shared" si="0"/>
        <v>8</v>
      </c>
      <c r="J7" s="31">
        <f t="shared" si="0"/>
        <v>9</v>
      </c>
      <c r="K7" s="31">
        <f t="shared" si="0"/>
        <v>10</v>
      </c>
      <c r="L7" s="31" t="s">
        <v>2</v>
      </c>
      <c r="M7" s="27" t="s">
        <v>3</v>
      </c>
    </row>
    <row r="8" spans="1:13" ht="15" thickBot="1" x14ac:dyDescent="0.35">
      <c r="A8" s="24"/>
      <c r="B8" s="26"/>
      <c r="C8" s="28"/>
      <c r="D8" s="30"/>
      <c r="E8" s="26"/>
      <c r="F8" s="30"/>
      <c r="G8" s="28"/>
      <c r="H8" s="32"/>
      <c r="I8" s="32"/>
      <c r="J8" s="32"/>
      <c r="K8" s="32"/>
      <c r="L8" s="32"/>
      <c r="M8" s="28"/>
    </row>
    <row r="9" spans="1:13" ht="15.6" x14ac:dyDescent="0.3">
      <c r="A9" s="2">
        <v>0.1</v>
      </c>
      <c r="B9" s="2">
        <f>(((1+2*(B$7-1))*($A9)^(2*(B$7-1)))/FACT(B$7-1))</f>
        <v>1</v>
      </c>
      <c r="C9" s="2">
        <f t="shared" ref="C9:K18" si="1">(((1+2*(C$7-1))*($A9)^(2*(C$7-1)))/FACT(C$7-1))</f>
        <v>3.0000000000000006E-2</v>
      </c>
      <c r="D9" s="2">
        <f t="shared" si="1"/>
        <v>2.5000000000000011E-4</v>
      </c>
      <c r="E9" s="2">
        <f t="shared" si="1"/>
        <v>1.1666666666666674E-6</v>
      </c>
      <c r="F9" s="2">
        <f t="shared" si="1"/>
        <v>3.750000000000003E-9</v>
      </c>
      <c r="G9" s="2">
        <f t="shared" si="1"/>
        <v>9.166666666666677E-12</v>
      </c>
      <c r="H9" s="2">
        <f t="shared" si="1"/>
        <v>1.8055555555555579E-14</v>
      </c>
      <c r="I9" s="2">
        <f t="shared" si="1"/>
        <v>2.9761904761904804E-17</v>
      </c>
      <c r="J9" s="2">
        <f t="shared" si="1"/>
        <v>4.2162698412698487E-20</v>
      </c>
      <c r="K9" s="2">
        <f t="shared" si="1"/>
        <v>5.2358906525573285E-23</v>
      </c>
      <c r="L9" s="8">
        <f>SUM(B9:K9)</f>
        <v>1.0302511704258515</v>
      </c>
      <c r="M9" s="6">
        <f>(1+2*($A9)^2)*EXP($A9)</f>
        <v>1.1272743364371607</v>
      </c>
    </row>
    <row r="10" spans="1:13" ht="15.6" x14ac:dyDescent="0.3">
      <c r="A10" s="2">
        <f>A9+0.1</f>
        <v>0.2</v>
      </c>
      <c r="B10" s="2">
        <f t="shared" ref="B10:B18" si="2">(((1+2*(B$7-1))*($A10)^(2*(B$7-1)))/FACT(B$7-1))</f>
        <v>1</v>
      </c>
      <c r="C10" s="2">
        <f t="shared" si="1"/>
        <v>0.12000000000000002</v>
      </c>
      <c r="D10" s="2">
        <f t="shared" si="1"/>
        <v>4.0000000000000018E-3</v>
      </c>
      <c r="E10" s="2">
        <f t="shared" si="1"/>
        <v>7.4666666666666715E-5</v>
      </c>
      <c r="F10" s="2">
        <f t="shared" si="1"/>
        <v>9.6000000000000076E-7</v>
      </c>
      <c r="G10" s="2">
        <f t="shared" si="1"/>
        <v>9.3866666666666773E-9</v>
      </c>
      <c r="H10" s="2">
        <f t="shared" si="1"/>
        <v>7.3955555555555653E-11</v>
      </c>
      <c r="I10" s="2">
        <f t="shared" si="1"/>
        <v>4.8761904761904831E-13</v>
      </c>
      <c r="J10" s="2">
        <f t="shared" si="1"/>
        <v>2.7631746031746081E-15</v>
      </c>
      <c r="K10" s="2">
        <f t="shared" si="1"/>
        <v>1.3725573192239883E-17</v>
      </c>
      <c r="L10" s="8">
        <f t="shared" ref="L10:L18" si="3">SUM(B10:K10)</f>
        <v>1.1240756361277793</v>
      </c>
      <c r="M10" s="6">
        <f t="shared" ref="M10:M18" si="4">(1+2*($A10)^2)*EXP($A10)</f>
        <v>1.3191149788129835</v>
      </c>
    </row>
    <row r="11" spans="1:13" ht="15.6" x14ac:dyDescent="0.3">
      <c r="A11" s="2">
        <f t="shared" ref="A11:A18" si="5">A10+0.1</f>
        <v>0.30000000000000004</v>
      </c>
      <c r="B11" s="2">
        <f t="shared" si="2"/>
        <v>1</v>
      </c>
      <c r="C11" s="2">
        <f t="shared" si="1"/>
        <v>0.27000000000000007</v>
      </c>
      <c r="D11" s="2">
        <f t="shared" si="1"/>
        <v>2.0250000000000011E-2</v>
      </c>
      <c r="E11" s="2">
        <f t="shared" si="1"/>
        <v>8.5050000000000067E-4</v>
      </c>
      <c r="F11" s="2">
        <f t="shared" si="1"/>
        <v>2.4603750000000023E-5</v>
      </c>
      <c r="G11" s="2">
        <f t="shared" si="1"/>
        <v>5.412825000000008E-7</v>
      </c>
      <c r="H11" s="2">
        <f t="shared" si="1"/>
        <v>9.595462500000016E-9</v>
      </c>
      <c r="I11" s="2">
        <f t="shared" si="1"/>
        <v>1.4235026785714312E-10</v>
      </c>
      <c r="J11" s="2">
        <f t="shared" si="1"/>
        <v>1.8149659151785752E-12</v>
      </c>
      <c r="K11" s="2">
        <f t="shared" si="1"/>
        <v>2.0284913169642908E-14</v>
      </c>
      <c r="L11" s="8">
        <f t="shared" si="3"/>
        <v>1.2911256547721481</v>
      </c>
      <c r="M11" s="6">
        <f t="shared" si="4"/>
        <v>1.5928333929396841</v>
      </c>
    </row>
    <row r="12" spans="1:13" ht="15.6" x14ac:dyDescent="0.3">
      <c r="A12" s="2">
        <f t="shared" si="5"/>
        <v>0.4</v>
      </c>
      <c r="B12" s="2">
        <f t="shared" si="2"/>
        <v>1</v>
      </c>
      <c r="C12" s="2">
        <f t="shared" si="1"/>
        <v>0.48000000000000009</v>
      </c>
      <c r="D12" s="2">
        <f t="shared" si="1"/>
        <v>6.4000000000000029E-2</v>
      </c>
      <c r="E12" s="2">
        <f t="shared" si="1"/>
        <v>4.7786666666666698E-3</v>
      </c>
      <c r="F12" s="2">
        <f t="shared" si="1"/>
        <v>2.4576000000000019E-4</v>
      </c>
      <c r="G12" s="2">
        <f t="shared" si="1"/>
        <v>9.6119466666666775E-6</v>
      </c>
      <c r="H12" s="2">
        <f t="shared" si="1"/>
        <v>3.0292195555555595E-7</v>
      </c>
      <c r="I12" s="2">
        <f t="shared" si="1"/>
        <v>7.9891504761904874E-9</v>
      </c>
      <c r="J12" s="2">
        <f t="shared" si="1"/>
        <v>1.8108741079365111E-10</v>
      </c>
      <c r="K12" s="2">
        <f t="shared" si="1"/>
        <v>3.598076658906532E-12</v>
      </c>
      <c r="L12" s="8">
        <f t="shared" si="3"/>
        <v>1.5490343497091248</v>
      </c>
      <c r="M12" s="6">
        <f t="shared" si="4"/>
        <v>1.9692086008864769</v>
      </c>
    </row>
    <row r="13" spans="1:13" ht="15.6" x14ac:dyDescent="0.3">
      <c r="A13" s="2">
        <f t="shared" si="5"/>
        <v>0.5</v>
      </c>
      <c r="B13" s="2">
        <f t="shared" si="2"/>
        <v>1</v>
      </c>
      <c r="C13" s="2">
        <f t="shared" si="1"/>
        <v>0.75</v>
      </c>
      <c r="D13" s="2">
        <f t="shared" si="1"/>
        <v>0.15625</v>
      </c>
      <c r="E13" s="2">
        <f t="shared" si="1"/>
        <v>1.8229166666666668E-2</v>
      </c>
      <c r="F13" s="2">
        <f t="shared" si="1"/>
        <v>1.46484375E-3</v>
      </c>
      <c r="G13" s="2">
        <f t="shared" si="1"/>
        <v>8.951822916666666E-5</v>
      </c>
      <c r="H13" s="2">
        <f t="shared" si="1"/>
        <v>4.4080946180555551E-6</v>
      </c>
      <c r="I13" s="2">
        <f t="shared" si="1"/>
        <v>1.8165225074404761E-7</v>
      </c>
      <c r="J13" s="2">
        <f t="shared" si="1"/>
        <v>6.4335172138516868E-9</v>
      </c>
      <c r="K13" s="2">
        <f t="shared" si="1"/>
        <v>1.9973337755421902E-10</v>
      </c>
      <c r="L13" s="8">
        <f t="shared" si="3"/>
        <v>1.9260381250259528</v>
      </c>
      <c r="M13" s="6">
        <f t="shared" si="4"/>
        <v>2.4730819060501923</v>
      </c>
    </row>
    <row r="14" spans="1:13" ht="15.6" x14ac:dyDescent="0.3">
      <c r="A14" s="2">
        <f t="shared" si="5"/>
        <v>0.6</v>
      </c>
      <c r="B14" s="2">
        <f t="shared" si="2"/>
        <v>1</v>
      </c>
      <c r="C14" s="2">
        <f t="shared" si="1"/>
        <v>1.08</v>
      </c>
      <c r="D14" s="2">
        <f t="shared" si="1"/>
        <v>0.32399999999999995</v>
      </c>
      <c r="E14" s="2">
        <f t="shared" si="1"/>
        <v>5.4432000000000001E-2</v>
      </c>
      <c r="F14" s="2">
        <f t="shared" si="1"/>
        <v>6.2985599999999991E-3</v>
      </c>
      <c r="G14" s="2">
        <f t="shared" si="1"/>
        <v>5.5427327999999995E-4</v>
      </c>
      <c r="H14" s="2">
        <f t="shared" si="1"/>
        <v>3.9303014399999991E-5</v>
      </c>
      <c r="I14" s="2">
        <f t="shared" si="1"/>
        <v>2.3322667885714278E-6</v>
      </c>
      <c r="J14" s="2">
        <f t="shared" si="1"/>
        <v>1.1894560621714281E-7</v>
      </c>
      <c r="K14" s="2">
        <f t="shared" si="1"/>
        <v>5.3175682779428556E-9</v>
      </c>
      <c r="L14" s="8">
        <f t="shared" si="3"/>
        <v>2.4653265928243626</v>
      </c>
      <c r="M14" s="6">
        <f t="shared" si="4"/>
        <v>3.1340443366716753</v>
      </c>
    </row>
    <row r="15" spans="1:13" ht="15.6" x14ac:dyDescent="0.3">
      <c r="A15" s="2">
        <f t="shared" si="5"/>
        <v>0.7</v>
      </c>
      <c r="B15" s="2">
        <f t="shared" si="2"/>
        <v>1</v>
      </c>
      <c r="C15" s="2">
        <f t="shared" si="1"/>
        <v>1.4699999999999998</v>
      </c>
      <c r="D15" s="2">
        <f t="shared" si="1"/>
        <v>0.60024999999999984</v>
      </c>
      <c r="E15" s="2">
        <f t="shared" si="1"/>
        <v>0.13725716666666662</v>
      </c>
      <c r="F15" s="2">
        <f t="shared" si="1"/>
        <v>2.1618003749999986E-2</v>
      </c>
      <c r="G15" s="2">
        <f t="shared" si="1"/>
        <v>2.5893564491666649E-3</v>
      </c>
      <c r="H15" s="2">
        <f t="shared" si="1"/>
        <v>2.4991213001805532E-4</v>
      </c>
      <c r="I15" s="2">
        <f t="shared" si="1"/>
        <v>2.0185210501458313E-5</v>
      </c>
      <c r="J15" s="2">
        <f t="shared" si="1"/>
        <v>1.4011900289762309E-6</v>
      </c>
      <c r="K15" s="2">
        <f t="shared" si="1"/>
        <v>8.5261955357965409E-8</v>
      </c>
      <c r="L15" s="8">
        <f t="shared" si="3"/>
        <v>3.2319861106583363</v>
      </c>
      <c r="M15" s="6">
        <f t="shared" si="4"/>
        <v>3.9872303607915436</v>
      </c>
    </row>
    <row r="16" spans="1:13" ht="15.6" x14ac:dyDescent="0.3">
      <c r="A16" s="2">
        <f t="shared" si="5"/>
        <v>0.79999999999999993</v>
      </c>
      <c r="B16" s="2">
        <f t="shared" si="2"/>
        <v>1</v>
      </c>
      <c r="C16" s="2">
        <f t="shared" si="1"/>
        <v>1.9199999999999997</v>
      </c>
      <c r="D16" s="2">
        <f t="shared" si="1"/>
        <v>1.0239999999999996</v>
      </c>
      <c r="E16" s="2">
        <f t="shared" si="1"/>
        <v>0.30583466666666653</v>
      </c>
      <c r="F16" s="2">
        <f t="shared" si="1"/>
        <v>6.2914559999999967E-2</v>
      </c>
      <c r="G16" s="2">
        <f t="shared" si="1"/>
        <v>9.8426333866666587E-3</v>
      </c>
      <c r="H16" s="2">
        <f t="shared" si="1"/>
        <v>1.2407683299555544E-3</v>
      </c>
      <c r="I16" s="2">
        <f t="shared" si="1"/>
        <v>1.3089424140190462E-4</v>
      </c>
      <c r="J16" s="2">
        <f t="shared" si="1"/>
        <v>1.1867744553772684E-5</v>
      </c>
      <c r="K16" s="2">
        <f t="shared" si="1"/>
        <v>9.4321420767239085E-7</v>
      </c>
      <c r="L16" s="8">
        <f t="shared" si="3"/>
        <v>4.3239763335834525</v>
      </c>
      <c r="M16" s="6">
        <f t="shared" si="4"/>
        <v>5.0742333169628253</v>
      </c>
    </row>
    <row r="17" spans="1:13" ht="15.6" x14ac:dyDescent="0.3">
      <c r="A17" s="2">
        <f t="shared" si="5"/>
        <v>0.89999999999999991</v>
      </c>
      <c r="B17" s="2">
        <f t="shared" si="2"/>
        <v>1</v>
      </c>
      <c r="C17" s="2">
        <f t="shared" si="1"/>
        <v>2.4299999999999997</v>
      </c>
      <c r="D17" s="2">
        <f t="shared" si="1"/>
        <v>1.6402499999999991</v>
      </c>
      <c r="E17" s="2">
        <f t="shared" si="1"/>
        <v>0.62001449999999958</v>
      </c>
      <c r="F17" s="2">
        <f t="shared" si="1"/>
        <v>0.16142520374999986</v>
      </c>
      <c r="G17" s="2">
        <f t="shared" si="1"/>
        <v>3.196219034249996E-2</v>
      </c>
      <c r="H17" s="2">
        <f t="shared" si="1"/>
        <v>5.0994221864624923E-3</v>
      </c>
      <c r="I17" s="2">
        <f t="shared" si="1"/>
        <v>6.8085691830240957E-4</v>
      </c>
      <c r="J17" s="2">
        <f t="shared" si="1"/>
        <v>7.8128331375201484E-5</v>
      </c>
      <c r="K17" s="2">
        <f t="shared" si="1"/>
        <v>7.8587909795055572E-6</v>
      </c>
      <c r="L17" s="8">
        <f t="shared" si="3"/>
        <v>5.8895181603196178</v>
      </c>
      <c r="M17" s="6">
        <f t="shared" si="4"/>
        <v>6.4441601512312063</v>
      </c>
    </row>
    <row r="18" spans="1:13" ht="16.2" thickBot="1" x14ac:dyDescent="0.35">
      <c r="A18" s="3">
        <f t="shared" si="5"/>
        <v>0.99999999999999989</v>
      </c>
      <c r="B18" s="3">
        <f t="shared" si="2"/>
        <v>1</v>
      </c>
      <c r="C18" s="3">
        <f t="shared" si="1"/>
        <v>2.9999999999999991</v>
      </c>
      <c r="D18" s="3">
        <f t="shared" si="1"/>
        <v>2.4999999999999991</v>
      </c>
      <c r="E18" s="3">
        <f t="shared" si="1"/>
        <v>1.1666666666666659</v>
      </c>
      <c r="F18" s="3">
        <f t="shared" si="1"/>
        <v>0.37499999999999972</v>
      </c>
      <c r="G18" s="3">
        <f t="shared" si="1"/>
        <v>9.1666666666666563E-2</v>
      </c>
      <c r="H18" s="3">
        <f t="shared" si="1"/>
        <v>1.805555555555553E-2</v>
      </c>
      <c r="I18" s="3">
        <f t="shared" si="1"/>
        <v>2.9761904761904717E-3</v>
      </c>
      <c r="J18" s="3">
        <f t="shared" si="1"/>
        <v>4.2162698412698344E-4</v>
      </c>
      <c r="K18" s="3">
        <f t="shared" si="1"/>
        <v>5.2358906525573082E-5</v>
      </c>
      <c r="L18" s="9">
        <f t="shared" si="3"/>
        <v>8.1548390652557288</v>
      </c>
      <c r="M18" s="7">
        <f t="shared" si="4"/>
        <v>8.1548454853771339</v>
      </c>
    </row>
  </sheetData>
  <mergeCells count="17">
    <mergeCell ref="K7:K8"/>
    <mergeCell ref="L7:L8"/>
    <mergeCell ref="M7:M8"/>
    <mergeCell ref="A1:B1"/>
    <mergeCell ref="A2:M2"/>
    <mergeCell ref="B4:D5"/>
    <mergeCell ref="A7:A8"/>
    <mergeCell ref="B7:B8"/>
    <mergeCell ref="C7:C8"/>
    <mergeCell ref="D7:D8"/>
    <mergeCell ref="E7:E8"/>
    <mergeCell ref="F7:F8"/>
    <mergeCell ref="G7:G8"/>
    <mergeCell ref="B6:C6"/>
    <mergeCell ref="H7:H8"/>
    <mergeCell ref="I7:I8"/>
    <mergeCell ref="J7:J8"/>
  </mergeCells>
  <conditionalFormatting sqref="B9:M18">
    <cfRule type="cellIs" dxfId="16" priority="2" operator="greaterThan">
      <formula>1.5</formula>
    </cfRule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J50"/>
  <sheetViews>
    <sheetView zoomScale="84" workbookViewId="0">
      <selection activeCell="B13" sqref="B13"/>
    </sheetView>
  </sheetViews>
  <sheetFormatPr defaultRowHeight="14.4" x14ac:dyDescent="0.3"/>
  <sheetData>
    <row r="1" spans="1:10" ht="15.6" x14ac:dyDescent="0.3">
      <c r="A1" s="21" t="s">
        <v>13</v>
      </c>
      <c r="B1" s="21"/>
      <c r="C1" s="1"/>
      <c r="D1" s="1"/>
      <c r="E1" s="1"/>
      <c r="F1" s="1"/>
      <c r="G1" s="1"/>
      <c r="H1" s="1"/>
      <c r="I1" s="1"/>
      <c r="J1" s="1"/>
    </row>
    <row r="2" spans="1:10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6" x14ac:dyDescent="0.3">
      <c r="A4" s="1"/>
      <c r="B4" s="20"/>
      <c r="C4" s="20"/>
      <c r="D4" s="20"/>
      <c r="E4" s="20"/>
      <c r="F4" s="20"/>
      <c r="G4" s="20"/>
      <c r="H4" s="20"/>
      <c r="I4" s="1"/>
      <c r="J4" s="1"/>
    </row>
    <row r="5" spans="1:10" ht="15.6" x14ac:dyDescent="0.3">
      <c r="A5" s="1"/>
      <c r="B5" s="20"/>
      <c r="C5" s="20"/>
      <c r="D5" s="20"/>
      <c r="E5" s="20"/>
      <c r="F5" s="20"/>
      <c r="G5" s="20"/>
      <c r="H5" s="20"/>
      <c r="I5" s="1"/>
      <c r="J5" s="1"/>
    </row>
    <row r="6" spans="1:10" ht="16.2" thickBot="1" x14ac:dyDescent="0.35">
      <c r="A6" s="1"/>
      <c r="B6" s="13"/>
      <c r="C6" s="13"/>
      <c r="D6" s="1"/>
      <c r="E6" s="1"/>
      <c r="F6" s="33"/>
      <c r="G6" s="33"/>
      <c r="H6" s="33"/>
      <c r="I6" s="1"/>
      <c r="J6" s="1"/>
    </row>
    <row r="7" spans="1:10" ht="14.4" customHeight="1" x14ac:dyDescent="0.3">
      <c r="A7" s="23" t="s">
        <v>23</v>
      </c>
      <c r="B7" s="25">
        <v>0.1</v>
      </c>
      <c r="C7" s="27">
        <f>B7+0.1</f>
        <v>0.2</v>
      </c>
      <c r="D7" s="27">
        <f t="shared" ref="D7:I7" si="0">C7+0.1</f>
        <v>0.30000000000000004</v>
      </c>
      <c r="E7" s="27">
        <f t="shared" si="0"/>
        <v>0.4</v>
      </c>
      <c r="F7" s="27">
        <f t="shared" si="0"/>
        <v>0.5</v>
      </c>
      <c r="G7" s="27">
        <f t="shared" si="0"/>
        <v>0.6</v>
      </c>
      <c r="H7" s="27">
        <f t="shared" si="0"/>
        <v>0.7</v>
      </c>
      <c r="I7" s="27">
        <f t="shared" si="0"/>
        <v>0.79999999999999993</v>
      </c>
    </row>
    <row r="8" spans="1:10" ht="15" customHeight="1" thickBot="1" x14ac:dyDescent="0.35">
      <c r="A8" s="24"/>
      <c r="B8" s="26"/>
      <c r="C8" s="28"/>
      <c r="D8" s="28"/>
      <c r="E8" s="28"/>
      <c r="F8" s="28"/>
      <c r="G8" s="28"/>
      <c r="H8" s="28"/>
      <c r="I8" s="28"/>
    </row>
    <row r="9" spans="1:10" ht="15.6" x14ac:dyDescent="0.3">
      <c r="A9" s="2">
        <v>1</v>
      </c>
      <c r="B9" s="2">
        <f>B$7^$A9*$A9*SIN(PI()/4)</f>
        <v>7.0710678118654752E-2</v>
      </c>
      <c r="C9" s="2">
        <f t="shared" ref="C9:I24" si="1">C$7^$A9*$A9*SIN(PI()/4)</f>
        <v>0.1414213562373095</v>
      </c>
      <c r="D9" s="2">
        <f t="shared" si="1"/>
        <v>0.21213203435596428</v>
      </c>
      <c r="E9" s="2">
        <f t="shared" si="1"/>
        <v>0.28284271247461901</v>
      </c>
      <c r="F9" s="2">
        <f t="shared" si="1"/>
        <v>0.35355339059327373</v>
      </c>
      <c r="G9" s="2">
        <f t="shared" si="1"/>
        <v>0.42426406871192845</v>
      </c>
      <c r="H9" s="2">
        <f t="shared" si="1"/>
        <v>0.49497474683058318</v>
      </c>
      <c r="I9" s="2">
        <f t="shared" si="1"/>
        <v>0.5656854249492379</v>
      </c>
    </row>
    <row r="10" spans="1:10" ht="15.6" x14ac:dyDescent="0.3">
      <c r="A10" s="2">
        <f>A9+1</f>
        <v>2</v>
      </c>
      <c r="B10" s="2">
        <f>B$7^$A10*$A10*SIN(PI()/4)</f>
        <v>1.4142135623730952E-2</v>
      </c>
      <c r="C10" s="2">
        <f t="shared" si="1"/>
        <v>5.656854249492381E-2</v>
      </c>
      <c r="D10" s="2">
        <f t="shared" si="1"/>
        <v>0.12727922061357858</v>
      </c>
      <c r="E10" s="2">
        <f t="shared" si="1"/>
        <v>0.22627416997969524</v>
      </c>
      <c r="F10" s="2">
        <f t="shared" si="1"/>
        <v>0.35355339059327373</v>
      </c>
      <c r="G10" s="2">
        <f t="shared" si="1"/>
        <v>0.50911688245431419</v>
      </c>
      <c r="H10" s="2">
        <f t="shared" si="1"/>
        <v>0.69296464556281645</v>
      </c>
      <c r="I10" s="2">
        <f t="shared" si="1"/>
        <v>0.90509667991878062</v>
      </c>
    </row>
    <row r="11" spans="1:10" ht="15.6" x14ac:dyDescent="0.3">
      <c r="A11" s="2">
        <f t="shared" ref="A11:A48" si="2">A10+1</f>
        <v>3</v>
      </c>
      <c r="B11" s="2">
        <f t="shared" ref="B11:I48" si="3">B$7^$A11*$A11*SIN(PI()/4)</f>
        <v>2.1213203435596429E-3</v>
      </c>
      <c r="C11" s="2">
        <f t="shared" si="1"/>
        <v>1.6970562748477143E-2</v>
      </c>
      <c r="D11" s="2">
        <f t="shared" si="1"/>
        <v>5.7275649276110369E-2</v>
      </c>
      <c r="E11" s="2">
        <f t="shared" si="1"/>
        <v>0.13576450198781714</v>
      </c>
      <c r="F11" s="2">
        <f t="shared" si="1"/>
        <v>0.2651650429449553</v>
      </c>
      <c r="G11" s="2">
        <f t="shared" si="1"/>
        <v>0.45820519420888278</v>
      </c>
      <c r="H11" s="2">
        <f t="shared" si="1"/>
        <v>0.72761287784095707</v>
      </c>
      <c r="I11" s="2">
        <f t="shared" si="1"/>
        <v>1.0861160159025367</v>
      </c>
    </row>
    <row r="12" spans="1:10" ht="15.6" x14ac:dyDescent="0.3">
      <c r="A12" s="2">
        <f t="shared" si="2"/>
        <v>4</v>
      </c>
      <c r="B12" s="2">
        <f t="shared" si="3"/>
        <v>2.8284271247461912E-4</v>
      </c>
      <c r="C12" s="2">
        <f t="shared" si="1"/>
        <v>4.525483399593906E-3</v>
      </c>
      <c r="D12" s="2">
        <f t="shared" si="1"/>
        <v>2.291025971044415E-2</v>
      </c>
      <c r="E12" s="2">
        <f t="shared" si="1"/>
        <v>7.2407734393502496E-2</v>
      </c>
      <c r="F12" s="2">
        <f t="shared" si="1"/>
        <v>0.17677669529663687</v>
      </c>
      <c r="G12" s="2">
        <f t="shared" si="1"/>
        <v>0.36656415536710618</v>
      </c>
      <c r="H12" s="2">
        <f t="shared" si="1"/>
        <v>0.67910535265156002</v>
      </c>
      <c r="I12" s="2">
        <f t="shared" si="1"/>
        <v>1.158523750296039</v>
      </c>
    </row>
    <row r="13" spans="1:10" ht="15.6" x14ac:dyDescent="0.3">
      <c r="A13" s="2">
        <f t="shared" si="2"/>
        <v>5</v>
      </c>
      <c r="B13" s="2">
        <f t="shared" si="3"/>
        <v>3.5355339059327397E-5</v>
      </c>
      <c r="C13" s="2">
        <f t="shared" si="1"/>
        <v>1.1313708498984767E-3</v>
      </c>
      <c r="D13" s="2">
        <f t="shared" si="1"/>
        <v>8.5913473914165581E-3</v>
      </c>
      <c r="E13" s="2">
        <f t="shared" si="1"/>
        <v>3.6203867196751255E-2</v>
      </c>
      <c r="F13" s="2">
        <f t="shared" si="1"/>
        <v>0.11048543456039804</v>
      </c>
      <c r="G13" s="2">
        <f t="shared" si="1"/>
        <v>0.27492311652532964</v>
      </c>
      <c r="H13" s="2">
        <f t="shared" si="1"/>
        <v>0.59421718357011499</v>
      </c>
      <c r="I13" s="2">
        <f t="shared" si="1"/>
        <v>1.158523750296039</v>
      </c>
    </row>
    <row r="14" spans="1:10" ht="15.6" x14ac:dyDescent="0.3">
      <c r="A14" s="2">
        <f t="shared" si="2"/>
        <v>6</v>
      </c>
      <c r="B14" s="2">
        <f t="shared" si="3"/>
        <v>4.2426406871192874E-6</v>
      </c>
      <c r="C14" s="2">
        <f t="shared" si="1"/>
        <v>2.7152900397563439E-4</v>
      </c>
      <c r="D14" s="2">
        <f t="shared" si="1"/>
        <v>3.0928850609099612E-3</v>
      </c>
      <c r="E14" s="2">
        <f t="shared" si="1"/>
        <v>1.7377856254440601E-2</v>
      </c>
      <c r="F14" s="2">
        <f t="shared" si="1"/>
        <v>6.6291260736238825E-2</v>
      </c>
      <c r="G14" s="2">
        <f t="shared" si="1"/>
        <v>0.19794464389823732</v>
      </c>
      <c r="H14" s="2">
        <f t="shared" si="1"/>
        <v>0.49914243419889653</v>
      </c>
      <c r="I14" s="2">
        <f t="shared" si="1"/>
        <v>1.1121828002841971</v>
      </c>
    </row>
    <row r="15" spans="1:10" ht="15.6" x14ac:dyDescent="0.3">
      <c r="A15" s="2">
        <f t="shared" si="2"/>
        <v>7</v>
      </c>
      <c r="B15" s="2">
        <f t="shared" si="3"/>
        <v>4.9497474683058357E-7</v>
      </c>
      <c r="C15" s="2">
        <f t="shared" si="1"/>
        <v>6.3356767594314697E-5</v>
      </c>
      <c r="D15" s="2">
        <f t="shared" si="1"/>
        <v>1.0825097713184865E-3</v>
      </c>
      <c r="E15" s="2">
        <f t="shared" si="1"/>
        <v>8.1096662520722812E-3</v>
      </c>
      <c r="F15" s="2">
        <f t="shared" si="1"/>
        <v>3.8669902096139311E-2</v>
      </c>
      <c r="G15" s="2">
        <f t="shared" si="1"/>
        <v>0.13856125072876613</v>
      </c>
      <c r="H15" s="2">
        <f t="shared" si="1"/>
        <v>0.40763298792909874</v>
      </c>
      <c r="I15" s="2">
        <f t="shared" si="1"/>
        <v>1.0380372802652507</v>
      </c>
    </row>
    <row r="16" spans="1:10" ht="15.6" x14ac:dyDescent="0.3">
      <c r="A16" s="2">
        <f t="shared" si="2"/>
        <v>8</v>
      </c>
      <c r="B16" s="2">
        <f t="shared" si="3"/>
        <v>5.6568542494923847E-8</v>
      </c>
      <c r="C16" s="2">
        <f t="shared" si="1"/>
        <v>1.4481546878700505E-5</v>
      </c>
      <c r="D16" s="2">
        <f t="shared" si="1"/>
        <v>3.7114620730919546E-4</v>
      </c>
      <c r="E16" s="2">
        <f t="shared" si="1"/>
        <v>3.7072760009473293E-3</v>
      </c>
      <c r="F16" s="2">
        <f t="shared" si="1"/>
        <v>2.2097086912079608E-2</v>
      </c>
      <c r="G16" s="2">
        <f t="shared" si="1"/>
        <v>9.5013429071153913E-2</v>
      </c>
      <c r="H16" s="2">
        <f t="shared" si="1"/>
        <v>0.32610639034327898</v>
      </c>
      <c r="I16" s="2">
        <f t="shared" si="1"/>
        <v>0.94906265624251485</v>
      </c>
    </row>
    <row r="17" spans="1:9" ht="15.6" x14ac:dyDescent="0.3">
      <c r="A17" s="2">
        <f t="shared" si="2"/>
        <v>9</v>
      </c>
      <c r="B17" s="2">
        <f t="shared" si="3"/>
        <v>6.3639610306789327E-9</v>
      </c>
      <c r="C17" s="2">
        <f t="shared" si="1"/>
        <v>3.2583480477076136E-6</v>
      </c>
      <c r="D17" s="2">
        <f t="shared" si="1"/>
        <v>1.2526184496685348E-4</v>
      </c>
      <c r="E17" s="2">
        <f t="shared" si="1"/>
        <v>1.6682742004262981E-3</v>
      </c>
      <c r="F17" s="2">
        <f t="shared" si="1"/>
        <v>1.242961138804478E-2</v>
      </c>
      <c r="G17" s="2">
        <f t="shared" si="1"/>
        <v>6.4134064623028897E-2</v>
      </c>
      <c r="H17" s="2">
        <f t="shared" si="1"/>
        <v>0.25680878239533217</v>
      </c>
      <c r="I17" s="2">
        <f t="shared" si="1"/>
        <v>0.85415639061826321</v>
      </c>
    </row>
    <row r="18" spans="1:9" ht="15.6" x14ac:dyDescent="0.3">
      <c r="A18" s="2">
        <f t="shared" si="2"/>
        <v>10</v>
      </c>
      <c r="B18" s="2">
        <f t="shared" si="3"/>
        <v>7.0710678118654828E-10</v>
      </c>
      <c r="C18" s="2">
        <f t="shared" si="1"/>
        <v>7.2407734393502544E-7</v>
      </c>
      <c r="D18" s="2">
        <f t="shared" si="1"/>
        <v>4.1753948322284495E-5</v>
      </c>
      <c r="E18" s="2">
        <f t="shared" si="1"/>
        <v>7.4145520018946605E-4</v>
      </c>
      <c r="F18" s="2">
        <f t="shared" si="1"/>
        <v>6.9053396600248776E-3</v>
      </c>
      <c r="G18" s="2">
        <f t="shared" si="1"/>
        <v>4.275604308201926E-2</v>
      </c>
      <c r="H18" s="2">
        <f t="shared" si="1"/>
        <v>0.19974016408525838</v>
      </c>
      <c r="I18" s="2">
        <f t="shared" si="1"/>
        <v>0.75925012499401179</v>
      </c>
    </row>
    <row r="19" spans="1:9" ht="15.6" x14ac:dyDescent="0.3">
      <c r="A19" s="2">
        <f t="shared" si="2"/>
        <v>11</v>
      </c>
      <c r="B19" s="2">
        <f t="shared" si="3"/>
        <v>7.7781745930520294E-11</v>
      </c>
      <c r="C19" s="2">
        <f t="shared" si="1"/>
        <v>1.5929701566570556E-7</v>
      </c>
      <c r="D19" s="2">
        <f t="shared" si="1"/>
        <v>1.3778802946353886E-5</v>
      </c>
      <c r="E19" s="2">
        <f t="shared" si="1"/>
        <v>3.2624028808336499E-4</v>
      </c>
      <c r="F19" s="2">
        <f t="shared" si="1"/>
        <v>3.7979368130136824E-3</v>
      </c>
      <c r="G19" s="2">
        <f t="shared" si="1"/>
        <v>2.8218988434132713E-2</v>
      </c>
      <c r="H19" s="2">
        <f t="shared" si="1"/>
        <v>0.15379992634564893</v>
      </c>
      <c r="I19" s="2">
        <f t="shared" si="1"/>
        <v>0.66814010999473028</v>
      </c>
    </row>
    <row r="20" spans="1:9" ht="15.6" x14ac:dyDescent="0.3">
      <c r="A20" s="2">
        <f t="shared" si="2"/>
        <v>12</v>
      </c>
      <c r="B20" s="2">
        <f t="shared" si="3"/>
        <v>8.4852813742385806E-12</v>
      </c>
      <c r="C20" s="2">
        <f t="shared" si="1"/>
        <v>3.4755712508881226E-8</v>
      </c>
      <c r="D20" s="2">
        <f t="shared" si="1"/>
        <v>4.5094264188067272E-6</v>
      </c>
      <c r="E20" s="2">
        <f t="shared" si="1"/>
        <v>1.423593984363775E-4</v>
      </c>
      <c r="F20" s="2">
        <f t="shared" si="1"/>
        <v>2.0716018980074633E-3</v>
      </c>
      <c r="G20" s="2">
        <f t="shared" si="1"/>
        <v>1.847061061143232E-2</v>
      </c>
      <c r="H20" s="2">
        <f t="shared" si="1"/>
        <v>0.11744721648213188</v>
      </c>
      <c r="I20" s="2">
        <f t="shared" si="1"/>
        <v>0.58310409599540092</v>
      </c>
    </row>
    <row r="21" spans="1:9" ht="15.6" x14ac:dyDescent="0.3">
      <c r="A21" s="2">
        <f t="shared" si="2"/>
        <v>13</v>
      </c>
      <c r="B21" s="2">
        <f t="shared" si="3"/>
        <v>9.1923881554251302E-13</v>
      </c>
      <c r="C21" s="2">
        <f t="shared" si="1"/>
        <v>7.5304043769242667E-9</v>
      </c>
      <c r="D21" s="2">
        <f t="shared" si="1"/>
        <v>1.4655635861121866E-6</v>
      </c>
      <c r="E21" s="2">
        <f t="shared" si="1"/>
        <v>6.1689072655763592E-5</v>
      </c>
      <c r="F21" s="2">
        <f t="shared" si="1"/>
        <v>1.1221176947540427E-3</v>
      </c>
      <c r="G21" s="2">
        <f t="shared" si="1"/>
        <v>1.2005896897431008E-2</v>
      </c>
      <c r="H21" s="2">
        <f t="shared" si="1"/>
        <v>8.9064139165616674E-2</v>
      </c>
      <c r="I21" s="2">
        <f t="shared" si="1"/>
        <v>0.50535688319601402</v>
      </c>
    </row>
    <row r="22" spans="1:9" ht="15.6" x14ac:dyDescent="0.3">
      <c r="A22" s="2">
        <f t="shared" si="2"/>
        <v>14</v>
      </c>
      <c r="B22" s="2">
        <f t="shared" si="3"/>
        <v>9.8994949366116797E-14</v>
      </c>
      <c r="C22" s="2">
        <f t="shared" si="1"/>
        <v>1.6219332504144576E-9</v>
      </c>
      <c r="D22" s="2">
        <f t="shared" si="1"/>
        <v>4.7348977397470645E-7</v>
      </c>
      <c r="E22" s="2">
        <f t="shared" si="1"/>
        <v>2.6573754374790473E-5</v>
      </c>
      <c r="F22" s="2">
        <f t="shared" si="1"/>
        <v>6.0421722025217673E-4</v>
      </c>
      <c r="G22" s="2">
        <f t="shared" si="1"/>
        <v>7.7576564568015731E-3</v>
      </c>
      <c r="H22" s="2">
        <f t="shared" si="1"/>
        <v>6.7140658755618726E-2</v>
      </c>
      <c r="I22" s="2">
        <f t="shared" si="1"/>
        <v>0.43538439167656601</v>
      </c>
    </row>
    <row r="23" spans="1:9" ht="15.6" x14ac:dyDescent="0.3">
      <c r="A23" s="2">
        <f t="shared" si="2"/>
        <v>15</v>
      </c>
      <c r="B23" s="2">
        <f t="shared" si="3"/>
        <v>1.0606601717798229E-14</v>
      </c>
      <c r="C23" s="2">
        <f t="shared" si="1"/>
        <v>3.4755712508881237E-10</v>
      </c>
      <c r="D23" s="2">
        <f t="shared" si="1"/>
        <v>1.521931416347271E-7</v>
      </c>
      <c r="E23" s="2">
        <f t="shared" si="1"/>
        <v>1.1388751874910204E-5</v>
      </c>
      <c r="F23" s="2">
        <f t="shared" si="1"/>
        <v>3.2368779656366612E-4</v>
      </c>
      <c r="G23" s="2">
        <f t="shared" si="1"/>
        <v>4.9870648650867265E-3</v>
      </c>
      <c r="H23" s="2">
        <f t="shared" si="1"/>
        <v>5.0355494066714038E-2</v>
      </c>
      <c r="I23" s="2">
        <f t="shared" si="1"/>
        <v>0.37318662143705644</v>
      </c>
    </row>
    <row r="24" spans="1:9" ht="15.6" x14ac:dyDescent="0.3">
      <c r="A24" s="2">
        <f t="shared" si="2"/>
        <v>16</v>
      </c>
      <c r="B24" s="2">
        <f t="shared" si="3"/>
        <v>1.1313708498984779E-15</v>
      </c>
      <c r="C24" s="2">
        <f t="shared" si="1"/>
        <v>7.4145520018946646E-11</v>
      </c>
      <c r="D24" s="2">
        <f t="shared" si="1"/>
        <v>4.8701805323112678E-8</v>
      </c>
      <c r="E24" s="2">
        <f t="shared" si="1"/>
        <v>4.8592007999616874E-6</v>
      </c>
      <c r="F24" s="2">
        <f t="shared" si="1"/>
        <v>1.7263349150062194E-4</v>
      </c>
      <c r="G24" s="2">
        <f t="shared" si="1"/>
        <v>3.1917215136555042E-3</v>
      </c>
      <c r="H24" s="2">
        <f t="shared" si="1"/>
        <v>3.7598768903146479E-2</v>
      </c>
      <c r="I24" s="2">
        <f t="shared" si="1"/>
        <v>0.3184525836262882</v>
      </c>
    </row>
    <row r="25" spans="1:9" ht="15.6" x14ac:dyDescent="0.3">
      <c r="A25" s="2">
        <f t="shared" si="2"/>
        <v>17</v>
      </c>
      <c r="B25" s="2">
        <f t="shared" si="3"/>
        <v>1.2020815280171329E-16</v>
      </c>
      <c r="C25" s="2">
        <f t="shared" si="3"/>
        <v>1.5755923004026164E-11</v>
      </c>
      <c r="D25" s="2">
        <f t="shared" si="3"/>
        <v>1.5523700446742168E-8</v>
      </c>
      <c r="E25" s="2">
        <f t="shared" si="3"/>
        <v>2.0651603399837173E-6</v>
      </c>
      <c r="F25" s="2">
        <f t="shared" si="3"/>
        <v>9.1711542359705408E-5</v>
      </c>
      <c r="G25" s="2">
        <f t="shared" si="3"/>
        <v>2.0347224649553837E-3</v>
      </c>
      <c r="H25" s="2">
        <f t="shared" si="3"/>
        <v>2.796408437171519E-2</v>
      </c>
      <c r="I25" s="2">
        <f t="shared" si="3"/>
        <v>0.27068469608234497</v>
      </c>
    </row>
    <row r="26" spans="1:9" ht="15.6" x14ac:dyDescent="0.3">
      <c r="A26" s="2">
        <f t="shared" si="2"/>
        <v>18</v>
      </c>
      <c r="B26" s="2">
        <f t="shared" si="3"/>
        <v>1.2727922061357878E-17</v>
      </c>
      <c r="C26" s="2">
        <f t="shared" si="3"/>
        <v>3.3365484008525997E-12</v>
      </c>
      <c r="D26" s="2">
        <f t="shared" si="3"/>
        <v>4.9310577889651598E-9</v>
      </c>
      <c r="E26" s="2">
        <f t="shared" si="3"/>
        <v>8.7465614399310389E-7</v>
      </c>
      <c r="F26" s="2">
        <f t="shared" si="3"/>
        <v>4.8553169484549924E-5</v>
      </c>
      <c r="G26" s="2">
        <f t="shared" si="3"/>
        <v>1.2926472130304792E-3</v>
      </c>
      <c r="H26" s="2">
        <f t="shared" si="3"/>
        <v>2.0726321357859494E-2</v>
      </c>
      <c r="I26" s="2">
        <f t="shared" si="3"/>
        <v>0.22928586021092742</v>
      </c>
    </row>
    <row r="27" spans="1:9" ht="15.6" x14ac:dyDescent="0.3">
      <c r="A27" s="2">
        <f t="shared" si="2"/>
        <v>19</v>
      </c>
      <c r="B27" s="2">
        <f t="shared" si="3"/>
        <v>1.3435028842544429E-18</v>
      </c>
      <c r="C27" s="2">
        <f t="shared" si="3"/>
        <v>7.0438244017999336E-13</v>
      </c>
      <c r="D27" s="2">
        <f t="shared" si="3"/>
        <v>1.5615016331723008E-9</v>
      </c>
      <c r="E27" s="2">
        <f t="shared" si="3"/>
        <v>3.6929926079708836E-7</v>
      </c>
      <c r="F27" s="2">
        <f t="shared" si="3"/>
        <v>2.5625283894623568E-5</v>
      </c>
      <c r="G27" s="2">
        <f t="shared" si="3"/>
        <v>8.1867656825263685E-4</v>
      </c>
      <c r="H27" s="2">
        <f t="shared" si="3"/>
        <v>1.531444855886285E-2</v>
      </c>
      <c r="I27" s="2">
        <f t="shared" si="3"/>
        <v>0.19361917084478319</v>
      </c>
    </row>
    <row r="28" spans="1:9" ht="15.6" x14ac:dyDescent="0.3">
      <c r="A28" s="2">
        <f t="shared" si="2"/>
        <v>20</v>
      </c>
      <c r="B28" s="2">
        <f t="shared" si="3"/>
        <v>1.4142135623730979E-19</v>
      </c>
      <c r="C28" s="2">
        <f t="shared" si="3"/>
        <v>1.4829104003789335E-13</v>
      </c>
      <c r="D28" s="2">
        <f t="shared" si="3"/>
        <v>4.9310577889651613E-10</v>
      </c>
      <c r="E28" s="2">
        <f t="shared" si="3"/>
        <v>1.5549442559877406E-7</v>
      </c>
      <c r="F28" s="2">
        <f t="shared" si="3"/>
        <v>1.3486991523486089E-5</v>
      </c>
      <c r="G28" s="2">
        <f t="shared" si="3"/>
        <v>5.1705888521219178E-4</v>
      </c>
      <c r="H28" s="2">
        <f t="shared" si="3"/>
        <v>1.1284330517056834E-2</v>
      </c>
      <c r="I28" s="2">
        <f t="shared" si="3"/>
        <v>0.1630477228166595</v>
      </c>
    </row>
    <row r="29" spans="1:9" ht="15.6" x14ac:dyDescent="0.3">
      <c r="A29" s="2">
        <f t="shared" si="2"/>
        <v>21</v>
      </c>
      <c r="B29" s="2">
        <f t="shared" si="3"/>
        <v>1.4849242404917533E-20</v>
      </c>
      <c r="C29" s="2">
        <f t="shared" si="3"/>
        <v>3.1141118407957613E-14</v>
      </c>
      <c r="D29" s="2">
        <f t="shared" si="3"/>
        <v>1.553283203524026E-10</v>
      </c>
      <c r="E29" s="2">
        <f t="shared" si="3"/>
        <v>6.5307658751485124E-8</v>
      </c>
      <c r="F29" s="2">
        <f t="shared" si="3"/>
        <v>7.0806705498301969E-6</v>
      </c>
      <c r="G29" s="2">
        <f t="shared" si="3"/>
        <v>3.2574709768368073E-4</v>
      </c>
      <c r="H29" s="2">
        <f t="shared" si="3"/>
        <v>8.2939829300367734E-3</v>
      </c>
      <c r="I29" s="2">
        <f t="shared" si="3"/>
        <v>0.13696008716599398</v>
      </c>
    </row>
    <row r="30" spans="1:9" ht="15.6" x14ac:dyDescent="0.3">
      <c r="A30" s="2">
        <f t="shared" si="2"/>
        <v>22</v>
      </c>
      <c r="B30" s="2">
        <f t="shared" si="3"/>
        <v>1.5556349186104079E-21</v>
      </c>
      <c r="C30" s="2">
        <f t="shared" si="3"/>
        <v>6.5248057616673084E-15</v>
      </c>
      <c r="D30" s="2">
        <f t="shared" si="3"/>
        <v>4.8817472110755109E-11</v>
      </c>
      <c r="E30" s="2">
        <f t="shared" si="3"/>
        <v>2.7367018905384238E-8</v>
      </c>
      <c r="F30" s="2">
        <f t="shared" si="3"/>
        <v>3.7089226689586743E-6</v>
      </c>
      <c r="G30" s="2">
        <f t="shared" si="3"/>
        <v>2.0475531854402787E-4</v>
      </c>
      <c r="H30" s="2">
        <f t="shared" si="3"/>
        <v>6.0822541486936325E-3</v>
      </c>
      <c r="I30" s="2">
        <f t="shared" si="3"/>
        <v>0.11478559686292827</v>
      </c>
    </row>
    <row r="31" spans="1:9" ht="15.6" x14ac:dyDescent="0.3">
      <c r="A31" s="2">
        <f t="shared" si="2"/>
        <v>23</v>
      </c>
      <c r="B31" s="2">
        <f t="shared" si="3"/>
        <v>1.6263455967290629E-22</v>
      </c>
      <c r="C31" s="2">
        <f t="shared" si="3"/>
        <v>1.3642775683486191E-15</v>
      </c>
      <c r="D31" s="2">
        <f t="shared" si="3"/>
        <v>1.5310934434736832E-11</v>
      </c>
      <c r="E31" s="2">
        <f t="shared" si="3"/>
        <v>1.1444389724069773E-8</v>
      </c>
      <c r="F31" s="2">
        <f t="shared" si="3"/>
        <v>1.9387550315011254E-6</v>
      </c>
      <c r="G31" s="2">
        <f t="shared" si="3"/>
        <v>1.2843742708670841E-4</v>
      </c>
      <c r="H31" s="2">
        <f t="shared" si="3"/>
        <v>4.4511041724530666E-3</v>
      </c>
      <c r="I31" s="2">
        <f t="shared" si="3"/>
        <v>9.6002499194449101E-2</v>
      </c>
    </row>
    <row r="32" spans="1:9" ht="15.6" x14ac:dyDescent="0.3">
      <c r="A32" s="2">
        <f t="shared" si="2"/>
        <v>24</v>
      </c>
      <c r="B32" s="2">
        <f t="shared" si="3"/>
        <v>1.6970562748477184E-23</v>
      </c>
      <c r="C32" s="2">
        <f t="shared" si="3"/>
        <v>2.8471879687275538E-16</v>
      </c>
      <c r="D32" s="2">
        <f t="shared" si="3"/>
        <v>4.7929881708741393E-12</v>
      </c>
      <c r="E32" s="2">
        <f t="shared" si="3"/>
        <v>4.7767887543943416E-9</v>
      </c>
      <c r="F32" s="2">
        <f t="shared" si="3"/>
        <v>1.0115243642614567E-6</v>
      </c>
      <c r="G32" s="2">
        <f t="shared" si="3"/>
        <v>8.0412997828200033E-5</v>
      </c>
      <c r="H32" s="2">
        <f t="shared" si="3"/>
        <v>3.2512413085744141E-3</v>
      </c>
      <c r="I32" s="2">
        <f t="shared" si="3"/>
        <v>8.0141216718844457E-2</v>
      </c>
    </row>
    <row r="33" spans="1:9" ht="15.6" x14ac:dyDescent="0.3">
      <c r="A33" s="2">
        <f t="shared" si="2"/>
        <v>25</v>
      </c>
      <c r="B33" s="2">
        <f t="shared" si="3"/>
        <v>1.7677669529663731E-24</v>
      </c>
      <c r="C33" s="2">
        <f t="shared" si="3"/>
        <v>5.9316416015157366E-17</v>
      </c>
      <c r="D33" s="2">
        <f t="shared" si="3"/>
        <v>1.4978088033981688E-12</v>
      </c>
      <c r="E33" s="2">
        <f t="shared" si="3"/>
        <v>1.9903286476643088E-9</v>
      </c>
      <c r="F33" s="2">
        <f t="shared" si="3"/>
        <v>5.2683560638617531E-7</v>
      </c>
      <c r="G33" s="2">
        <f t="shared" si="3"/>
        <v>5.0258123642625034E-5</v>
      </c>
      <c r="H33" s="2">
        <f t="shared" si="3"/>
        <v>2.3706967875021766E-3</v>
      </c>
      <c r="I33" s="2">
        <f t="shared" si="3"/>
        <v>6.6784347265703703E-2</v>
      </c>
    </row>
    <row r="34" spans="1:9" ht="15.6" x14ac:dyDescent="0.3">
      <c r="A34" s="2">
        <f t="shared" si="2"/>
        <v>26</v>
      </c>
      <c r="B34" s="2">
        <f t="shared" si="3"/>
        <v>1.8384776310850286E-25</v>
      </c>
      <c r="C34" s="2">
        <f t="shared" si="3"/>
        <v>1.2337814531152736E-17</v>
      </c>
      <c r="D34" s="2">
        <f t="shared" si="3"/>
        <v>4.6731634666022858E-13</v>
      </c>
      <c r="E34" s="2">
        <f t="shared" si="3"/>
        <v>8.2797671742835269E-10</v>
      </c>
      <c r="F34" s="2">
        <f t="shared" si="3"/>
        <v>2.739545153208112E-7</v>
      </c>
      <c r="G34" s="2">
        <f t="shared" si="3"/>
        <v>3.1361069152998018E-5</v>
      </c>
      <c r="H34" s="2">
        <f t="shared" si="3"/>
        <v>1.7258672613015848E-3</v>
      </c>
      <c r="I34" s="2">
        <f t="shared" si="3"/>
        <v>5.5564576925065487E-2</v>
      </c>
    </row>
    <row r="35" spans="1:9" ht="15.6" x14ac:dyDescent="0.3">
      <c r="A35" s="2">
        <f t="shared" si="2"/>
        <v>27</v>
      </c>
      <c r="B35" s="2">
        <f t="shared" si="3"/>
        <v>1.9091883092036833E-26</v>
      </c>
      <c r="C35" s="2">
        <f t="shared" si="3"/>
        <v>2.5624691718547986E-18</v>
      </c>
      <c r="D35" s="2">
        <f t="shared" si="3"/>
        <v>1.4558701569030204E-13</v>
      </c>
      <c r="E35" s="2">
        <f t="shared" si="3"/>
        <v>3.4392879031639261E-10</v>
      </c>
      <c r="F35" s="2">
        <f t="shared" si="3"/>
        <v>1.4224561372426734E-7</v>
      </c>
      <c r="G35" s="2">
        <f t="shared" si="3"/>
        <v>1.954035847225261E-5</v>
      </c>
      <c r="H35" s="2">
        <f t="shared" si="3"/>
        <v>1.2545727399461519E-3</v>
      </c>
      <c r="I35" s="2">
        <f t="shared" si="3"/>
        <v>4.6161340830054395E-2</v>
      </c>
    </row>
    <row r="36" spans="1:9" ht="15.6" x14ac:dyDescent="0.3">
      <c r="A36" s="2">
        <f t="shared" si="2"/>
        <v>28</v>
      </c>
      <c r="B36" s="2">
        <f t="shared" si="3"/>
        <v>1.9798989873223391E-27</v>
      </c>
      <c r="C36" s="2">
        <f t="shared" si="3"/>
        <v>5.3147508749581031E-19</v>
      </c>
      <c r="D36" s="2">
        <f t="shared" si="3"/>
        <v>4.5293738214760652E-14</v>
      </c>
      <c r="E36" s="2">
        <f t="shared" si="3"/>
        <v>1.4266675746457774E-10</v>
      </c>
      <c r="F36" s="2">
        <f t="shared" si="3"/>
        <v>7.3756984894064542E-8</v>
      </c>
      <c r="G36" s="2">
        <f t="shared" si="3"/>
        <v>1.2158445271623846E-5</v>
      </c>
      <c r="H36" s="2">
        <f t="shared" si="3"/>
        <v>9.1072687788683597E-4</v>
      </c>
      <c r="I36" s="2">
        <f t="shared" si="3"/>
        <v>3.8296816096045121E-2</v>
      </c>
    </row>
    <row r="37" spans="1:9" ht="15.6" x14ac:dyDescent="0.3">
      <c r="A37" s="2">
        <f t="shared" si="2"/>
        <v>29</v>
      </c>
      <c r="B37" s="2">
        <f t="shared" si="3"/>
        <v>2.0506096654409942E-28</v>
      </c>
      <c r="C37" s="2">
        <f t="shared" si="3"/>
        <v>1.1009126812413215E-19</v>
      </c>
      <c r="D37" s="2">
        <f t="shared" si="3"/>
        <v>1.4073411516729201E-14</v>
      </c>
      <c r="E37" s="2">
        <f t="shared" si="3"/>
        <v>5.9104799521039355E-11</v>
      </c>
      <c r="F37" s="2">
        <f t="shared" si="3"/>
        <v>3.8195581462997714E-8</v>
      </c>
      <c r="G37" s="2">
        <f t="shared" si="3"/>
        <v>7.5556052759376764E-6</v>
      </c>
      <c r="H37" s="2">
        <f t="shared" si="3"/>
        <v>6.6027698646795594E-4</v>
      </c>
      <c r="I37" s="2">
        <f t="shared" si="3"/>
        <v>3.1731647622437388E-2</v>
      </c>
    </row>
    <row r="38" spans="1:9" ht="15.6" x14ac:dyDescent="0.3">
      <c r="A38" s="2">
        <f t="shared" si="2"/>
        <v>30</v>
      </c>
      <c r="B38" s="2">
        <f t="shared" si="3"/>
        <v>2.121320343559649E-29</v>
      </c>
      <c r="C38" s="2">
        <f t="shared" si="3"/>
        <v>2.2777503749820442E-20</v>
      </c>
      <c r="D38" s="2">
        <f t="shared" si="3"/>
        <v>4.3676104707090628E-15</v>
      </c>
      <c r="E38" s="2">
        <f t="shared" si="3"/>
        <v>2.4457158422499041E-11</v>
      </c>
      <c r="F38" s="2">
        <f t="shared" si="3"/>
        <v>1.9756335239481575E-8</v>
      </c>
      <c r="G38" s="2">
        <f t="shared" si="3"/>
        <v>4.6896860333406256E-6</v>
      </c>
      <c r="H38" s="2">
        <f t="shared" si="3"/>
        <v>4.7813161089058884E-4</v>
      </c>
      <c r="I38" s="2">
        <f t="shared" si="3"/>
        <v>2.6260673894430941E-2</v>
      </c>
    </row>
    <row r="39" spans="1:9" ht="15.6" x14ac:dyDescent="0.3">
      <c r="A39" s="2">
        <f t="shared" si="2"/>
        <v>31</v>
      </c>
      <c r="B39" s="2">
        <f t="shared" si="3"/>
        <v>2.1920310216783045E-30</v>
      </c>
      <c r="C39" s="2">
        <f t="shared" si="3"/>
        <v>4.7073507749628924E-21</v>
      </c>
      <c r="D39" s="2">
        <f t="shared" si="3"/>
        <v>1.3539592459198096E-15</v>
      </c>
      <c r="E39" s="2">
        <f t="shared" si="3"/>
        <v>1.0108958814632939E-11</v>
      </c>
      <c r="F39" s="2">
        <f t="shared" si="3"/>
        <v>1.0207439873732148E-8</v>
      </c>
      <c r="G39" s="2">
        <f t="shared" si="3"/>
        <v>2.9076053406711879E-6</v>
      </c>
      <c r="H39" s="2">
        <f t="shared" si="3"/>
        <v>3.4584853187752585E-4</v>
      </c>
      <c r="I39" s="2">
        <f t="shared" si="3"/>
        <v>2.1708823752729572E-2</v>
      </c>
    </row>
    <row r="40" spans="1:9" ht="15.6" x14ac:dyDescent="0.3">
      <c r="A40" s="2">
        <f t="shared" si="2"/>
        <v>32</v>
      </c>
      <c r="B40" s="2">
        <f t="shared" si="3"/>
        <v>2.2627416997969597E-31</v>
      </c>
      <c r="C40" s="2">
        <f t="shared" si="3"/>
        <v>9.7184015999233919E-22</v>
      </c>
      <c r="D40" s="2">
        <f t="shared" si="3"/>
        <v>4.192906051880701E-16</v>
      </c>
      <c r="E40" s="2">
        <f t="shared" si="3"/>
        <v>4.1740217041065044E-12</v>
      </c>
      <c r="F40" s="2">
        <f t="shared" si="3"/>
        <v>5.2683560638617535E-9</v>
      </c>
      <c r="G40" s="2">
        <f t="shared" si="3"/>
        <v>1.8008394368027999E-6</v>
      </c>
      <c r="H40" s="2">
        <f t="shared" si="3"/>
        <v>2.4990345529214773E-4</v>
      </c>
      <c r="I40" s="2">
        <f t="shared" si="3"/>
        <v>1.7927286711931518E-2</v>
      </c>
    </row>
    <row r="41" spans="1:9" ht="15.6" x14ac:dyDescent="0.3">
      <c r="A41" s="2">
        <f t="shared" si="2"/>
        <v>33</v>
      </c>
      <c r="B41" s="2">
        <f t="shared" si="3"/>
        <v>2.3334523779156149E-32</v>
      </c>
      <c r="C41" s="2">
        <f t="shared" si="3"/>
        <v>2.0044203299841997E-22</v>
      </c>
      <c r="D41" s="2">
        <f t="shared" si="3"/>
        <v>1.2971803098005919E-16</v>
      </c>
      <c r="E41" s="2">
        <f t="shared" si="3"/>
        <v>1.7217839529439332E-12</v>
      </c>
      <c r="F41" s="2">
        <f t="shared" si="3"/>
        <v>2.7164960954287165E-9</v>
      </c>
      <c r="G41" s="2">
        <f t="shared" si="3"/>
        <v>1.1142694015217324E-6</v>
      </c>
      <c r="H41" s="2">
        <f t="shared" si="3"/>
        <v>1.8039905678901916E-4</v>
      </c>
      <c r="I41" s="2">
        <f t="shared" si="3"/>
        <v>1.4790011537343498E-2</v>
      </c>
    </row>
    <row r="42" spans="1:9" ht="15.6" x14ac:dyDescent="0.3">
      <c r="A42" s="2">
        <f t="shared" si="2"/>
        <v>34</v>
      </c>
      <c r="B42" s="2">
        <f t="shared" si="3"/>
        <v>2.4041630560342707E-33</v>
      </c>
      <c r="C42" s="2">
        <f t="shared" si="3"/>
        <v>4.1303206799674433E-23</v>
      </c>
      <c r="D42" s="2">
        <f t="shared" si="3"/>
        <v>4.0094664121109216E-17</v>
      </c>
      <c r="E42" s="2">
        <f t="shared" si="3"/>
        <v>7.0958368969810606E-13</v>
      </c>
      <c r="F42" s="2">
        <f t="shared" si="3"/>
        <v>1.3994070794632783E-9</v>
      </c>
      <c r="G42" s="2">
        <f t="shared" si="3"/>
        <v>6.8882108457707096E-7</v>
      </c>
      <c r="H42" s="2">
        <f t="shared" si="3"/>
        <v>1.3010598641147438E-4</v>
      </c>
      <c r="I42" s="2">
        <f t="shared" si="3"/>
        <v>1.2190554964113431E-2</v>
      </c>
    </row>
    <row r="43" spans="1:9" ht="15.6" x14ac:dyDescent="0.3">
      <c r="A43" s="2">
        <f t="shared" si="2"/>
        <v>35</v>
      </c>
      <c r="B43" s="2">
        <f t="shared" si="3"/>
        <v>2.4748737341529254E-34</v>
      </c>
      <c r="C43" s="2">
        <f t="shared" si="3"/>
        <v>8.5036013999329704E-24</v>
      </c>
      <c r="D43" s="2">
        <f t="shared" si="3"/>
        <v>1.2382175684460198E-17</v>
      </c>
      <c r="E43" s="2">
        <f t="shared" si="3"/>
        <v>2.9218151928745539E-13</v>
      </c>
      <c r="F43" s="2">
        <f t="shared" si="3"/>
        <v>7.202830556060991E-10</v>
      </c>
      <c r="G43" s="2">
        <f t="shared" si="3"/>
        <v>4.2544831694466151E-7</v>
      </c>
      <c r="H43" s="2">
        <f t="shared" si="3"/>
        <v>9.3752843149444773E-5</v>
      </c>
      <c r="I43" s="2">
        <f t="shared" si="3"/>
        <v>1.0039280558681647E-2</v>
      </c>
    </row>
    <row r="44" spans="1:9" ht="15.6" x14ac:dyDescent="0.3">
      <c r="A44" s="2">
        <f t="shared" si="2"/>
        <v>36</v>
      </c>
      <c r="B44" s="2">
        <f t="shared" si="3"/>
        <v>2.545584412271581E-35</v>
      </c>
      <c r="C44" s="2">
        <f t="shared" si="3"/>
        <v>1.7493122879862114E-24</v>
      </c>
      <c r="D44" s="2">
        <f t="shared" si="3"/>
        <v>3.8207856397762907E-18</v>
      </c>
      <c r="E44" s="2">
        <f t="shared" si="3"/>
        <v>1.2021182507826739E-13</v>
      </c>
      <c r="F44" s="2">
        <f t="shared" si="3"/>
        <v>3.7043128574027957E-10</v>
      </c>
      <c r="G44" s="2">
        <f t="shared" si="3"/>
        <v>2.6256238988584821E-7</v>
      </c>
      <c r="H44" s="2">
        <f t="shared" si="3"/>
        <v>6.7502047067600229E-5</v>
      </c>
      <c r="I44" s="2">
        <f t="shared" si="3"/>
        <v>8.26089371685804E-3</v>
      </c>
    </row>
    <row r="45" spans="1:9" ht="15.6" x14ac:dyDescent="0.3">
      <c r="A45" s="2">
        <f t="shared" si="2"/>
        <v>37</v>
      </c>
      <c r="B45" s="2">
        <f t="shared" si="3"/>
        <v>2.6162950903902362E-36</v>
      </c>
      <c r="C45" s="2">
        <f t="shared" si="3"/>
        <v>3.595808591971657E-25</v>
      </c>
      <c r="D45" s="2">
        <f t="shared" si="3"/>
        <v>1.1780755722643564E-18</v>
      </c>
      <c r="E45" s="2">
        <f t="shared" si="3"/>
        <v>4.942041697662104E-14</v>
      </c>
      <c r="F45" s="2">
        <f t="shared" si="3"/>
        <v>1.9036052183875477E-10</v>
      </c>
      <c r="G45" s="2">
        <f t="shared" si="3"/>
        <v>1.6191347376293975E-7</v>
      </c>
      <c r="H45" s="2">
        <f t="shared" si="3"/>
        <v>4.8563972751412388E-5</v>
      </c>
      <c r="I45" s="2">
        <f t="shared" si="3"/>
        <v>6.7922903894166095E-3</v>
      </c>
    </row>
    <row r="46" spans="1:9" ht="15.6" x14ac:dyDescent="0.3">
      <c r="A46" s="2">
        <f t="shared" si="2"/>
        <v>38</v>
      </c>
      <c r="B46" s="2">
        <f t="shared" si="3"/>
        <v>2.6870057685088913E-37</v>
      </c>
      <c r="C46" s="2">
        <f t="shared" si="3"/>
        <v>7.3859852159417824E-26</v>
      </c>
      <c r="D46" s="2">
        <f t="shared" si="3"/>
        <v>3.6297463577874767E-19</v>
      </c>
      <c r="E46" s="2">
        <f t="shared" si="3"/>
        <v>2.030244156877405E-14</v>
      </c>
      <c r="F46" s="2">
        <f t="shared" si="3"/>
        <v>9.7752700403684876E-11</v>
      </c>
      <c r="G46" s="2">
        <f t="shared" si="3"/>
        <v>9.9773708156622325E-8</v>
      </c>
      <c r="H46" s="2">
        <f t="shared" si="3"/>
        <v>3.4913558788853225E-5</v>
      </c>
      <c r="I46" s="2">
        <f t="shared" si="3"/>
        <v>5.5806926442774317E-3</v>
      </c>
    </row>
    <row r="47" spans="1:9" ht="15.6" x14ac:dyDescent="0.3">
      <c r="A47" s="2">
        <f t="shared" si="2"/>
        <v>39</v>
      </c>
      <c r="B47" s="2">
        <f t="shared" si="3"/>
        <v>2.7577164466275466E-38</v>
      </c>
      <c r="C47" s="2">
        <f t="shared" si="3"/>
        <v>1.5160706495880502E-26</v>
      </c>
      <c r="D47" s="2">
        <f t="shared" si="3"/>
        <v>1.1175797996345657E-19</v>
      </c>
      <c r="E47" s="2">
        <f t="shared" si="3"/>
        <v>8.334686538759874E-15</v>
      </c>
      <c r="F47" s="2">
        <f t="shared" si="3"/>
        <v>5.0162569943996191E-11</v>
      </c>
      <c r="G47" s="2">
        <f t="shared" si="3"/>
        <v>6.1439599233288478E-8</v>
      </c>
      <c r="H47" s="2">
        <f t="shared" si="3"/>
        <v>2.5082635656202447E-5</v>
      </c>
      <c r="I47" s="2">
        <f t="shared" si="3"/>
        <v>4.5820423816172583E-3</v>
      </c>
    </row>
    <row r="48" spans="1:9" ht="16.2" thickBot="1" x14ac:dyDescent="0.35">
      <c r="A48" s="3">
        <f t="shared" si="2"/>
        <v>40</v>
      </c>
      <c r="B48" s="2">
        <f t="shared" si="3"/>
        <v>2.8284271247462022E-39</v>
      </c>
      <c r="C48" s="2">
        <f t="shared" si="3"/>
        <v>3.1098885119754882E-27</v>
      </c>
      <c r="D48" s="2">
        <f t="shared" si="3"/>
        <v>3.438707075798663E-20</v>
      </c>
      <c r="E48" s="2">
        <f t="shared" si="3"/>
        <v>3.4193585800040515E-15</v>
      </c>
      <c r="F48" s="2">
        <f t="shared" si="3"/>
        <v>2.5724394843074968E-11</v>
      </c>
      <c r="G48" s="2">
        <f t="shared" si="3"/>
        <v>3.7808984143562138E-8</v>
      </c>
      <c r="H48" s="2">
        <f t="shared" si="3"/>
        <v>1.800804611214535E-5</v>
      </c>
      <c r="I48" s="2">
        <f t="shared" si="3"/>
        <v>3.7596245182500584E-3</v>
      </c>
    </row>
    <row r="49" spans="1:9" ht="16.2" thickBot="1" x14ac:dyDescent="0.35">
      <c r="A49" s="11" t="s">
        <v>2</v>
      </c>
      <c r="B49" s="10">
        <f>SUM(B9:B48)</f>
        <v>8.7297133479820654E-2</v>
      </c>
      <c r="C49" s="10">
        <f t="shared" ref="C49:I49" si="4">SUM(C9:C48)</f>
        <v>0.22097086912079611</v>
      </c>
      <c r="D49" s="10">
        <f t="shared" si="4"/>
        <v>0.43292251909380469</v>
      </c>
      <c r="E49" s="10">
        <f t="shared" si="4"/>
        <v>0.7856742013183835</v>
      </c>
      <c r="F49" s="10">
        <f t="shared" si="4"/>
        <v>1.4142135623460848</v>
      </c>
      <c r="G49" s="10">
        <f t="shared" si="4"/>
        <v>2.651650369191485</v>
      </c>
      <c r="H49" s="10">
        <f t="shared" si="4"/>
        <v>5.4996738888899186</v>
      </c>
      <c r="I49" s="10">
        <f t="shared" si="4"/>
        <v>14.125217313398815</v>
      </c>
    </row>
    <row r="50" spans="1:9" ht="16.2" thickBot="1" x14ac:dyDescent="0.35">
      <c r="A50" s="11" t="s">
        <v>3</v>
      </c>
      <c r="B50" s="10">
        <f>(B$7*SIN(PI()/4))/(1-2*B$7*COS(PI()/4)+B$7^2)</f>
        <v>8.1409643935447765E-2</v>
      </c>
      <c r="C50" s="10">
        <f t="shared" ref="C50:I50" si="5">(C$7*SIN(PI()/4))/(1-2*C$7*COS(PI()/4)+C$7^2)</f>
        <v>0.18677936350519359</v>
      </c>
      <c r="D50" s="10">
        <f t="shared" si="5"/>
        <v>0.31864290987798938</v>
      </c>
      <c r="E50" s="10">
        <f t="shared" si="5"/>
        <v>0.47591414437456914</v>
      </c>
      <c r="F50" s="10">
        <f t="shared" si="5"/>
        <v>0.65123928305091028</v>
      </c>
      <c r="G50" s="10">
        <f t="shared" si="5"/>
        <v>0.82949640000727931</v>
      </c>
      <c r="H50" s="10">
        <f t="shared" si="5"/>
        <v>0.9898495063120466</v>
      </c>
      <c r="I50" s="10">
        <f t="shared" si="5"/>
        <v>1.112176572727547</v>
      </c>
    </row>
  </sheetData>
  <mergeCells count="13">
    <mergeCell ref="H7:H8"/>
    <mergeCell ref="I7:I8"/>
    <mergeCell ref="B4:E5"/>
    <mergeCell ref="F4:H6"/>
    <mergeCell ref="A1:B1"/>
    <mergeCell ref="A2:J2"/>
    <mergeCell ref="A7:A8"/>
    <mergeCell ref="B7:B8"/>
    <mergeCell ref="C7:C8"/>
    <mergeCell ref="D7:D8"/>
    <mergeCell ref="E7:E8"/>
    <mergeCell ref="F7:F8"/>
    <mergeCell ref="G7:G8"/>
  </mergeCells>
  <conditionalFormatting sqref="B9:I48">
    <cfRule type="cellIs" dxfId="14" priority="4" operator="greaterThan">
      <formula>1.5</formula>
    </cfRule>
    <cfRule type="cellIs" dxfId="13" priority="3" operator="lessThan">
      <formula>0</formula>
    </cfRule>
  </conditionalFormatting>
  <conditionalFormatting sqref="B49:I50">
    <cfRule type="cellIs" dxfId="12" priority="2" operator="greaterThan">
      <formula>1.5</formula>
    </cfRule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J50"/>
  <sheetViews>
    <sheetView workbookViewId="0">
      <selection activeCell="C7" sqref="C7:C8"/>
    </sheetView>
  </sheetViews>
  <sheetFormatPr defaultRowHeight="14.4" x14ac:dyDescent="0.3"/>
  <sheetData>
    <row r="1" spans="1:10" ht="15.6" x14ac:dyDescent="0.3">
      <c r="A1" s="21" t="s">
        <v>14</v>
      </c>
      <c r="B1" s="21"/>
      <c r="C1" s="1"/>
      <c r="D1" s="1"/>
      <c r="E1" s="1"/>
      <c r="F1" s="1"/>
      <c r="G1" s="1"/>
      <c r="H1" s="1"/>
      <c r="I1" s="1"/>
      <c r="J1" s="1"/>
    </row>
    <row r="2" spans="1:10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6" x14ac:dyDescent="0.3">
      <c r="A4" s="1"/>
      <c r="B4" s="20"/>
      <c r="C4" s="20"/>
      <c r="D4" s="20"/>
      <c r="E4" s="20"/>
      <c r="F4" s="12"/>
      <c r="G4" s="12"/>
      <c r="H4" s="12"/>
      <c r="I4" s="1"/>
      <c r="J4" s="1"/>
    </row>
    <row r="5" spans="1:10" ht="15.6" x14ac:dyDescent="0.3">
      <c r="A5" s="1"/>
      <c r="B5" s="20"/>
      <c r="C5" s="20"/>
      <c r="D5" s="20"/>
      <c r="E5" s="20"/>
      <c r="F5" s="12"/>
      <c r="G5" s="12"/>
      <c r="H5" s="12"/>
      <c r="I5" s="1"/>
      <c r="J5" s="1"/>
    </row>
    <row r="6" spans="1:10" ht="16.2" thickBot="1" x14ac:dyDescent="0.35">
      <c r="A6" s="1"/>
      <c r="B6" s="13"/>
      <c r="C6" s="13"/>
      <c r="D6" s="1"/>
      <c r="E6" s="1"/>
      <c r="F6" s="14"/>
      <c r="G6" s="14"/>
      <c r="H6" s="14"/>
      <c r="I6" s="1"/>
      <c r="J6" s="1"/>
    </row>
    <row r="7" spans="1:10" ht="14.4" customHeight="1" x14ac:dyDescent="0.3">
      <c r="A7" s="23" t="s">
        <v>23</v>
      </c>
      <c r="B7" s="25">
        <f>PI()/5</f>
        <v>0.62831853071795862</v>
      </c>
      <c r="C7" s="27">
        <f>B7+PI()/5</f>
        <v>1.2566370614359172</v>
      </c>
      <c r="D7" s="25">
        <f t="shared" ref="D7:E7" si="0">C7+PI()/5</f>
        <v>1.8849555921538759</v>
      </c>
      <c r="E7" s="34">
        <f t="shared" si="0"/>
        <v>2.5132741228718345</v>
      </c>
      <c r="F7" s="15"/>
      <c r="G7" s="15"/>
      <c r="H7" s="15"/>
    </row>
    <row r="8" spans="1:10" ht="15" customHeight="1" thickBot="1" x14ac:dyDescent="0.35">
      <c r="A8" s="24"/>
      <c r="B8" s="26"/>
      <c r="C8" s="28"/>
      <c r="D8" s="26"/>
      <c r="E8" s="35"/>
    </row>
    <row r="9" spans="1:10" ht="15.6" x14ac:dyDescent="0.3">
      <c r="A9" s="2">
        <v>1</v>
      </c>
      <c r="B9" s="2">
        <f>(SIN(B$7*$A9)/FACT($A9))*(-1)^($A9+1)</f>
        <v>0.58778525229247314</v>
      </c>
      <c r="C9" s="2">
        <f t="shared" ref="C9:E28" si="1">(SIN(C$7*$A9)/FACT($A9))*(-1)^($A9+1)</f>
        <v>0.95105651629515353</v>
      </c>
      <c r="D9" s="2">
        <f t="shared" si="1"/>
        <v>0.95105651629515364</v>
      </c>
      <c r="E9" s="2">
        <f t="shared" si="1"/>
        <v>0.58778525229247325</v>
      </c>
    </row>
    <row r="10" spans="1:10" ht="15.6" x14ac:dyDescent="0.3">
      <c r="A10" s="2">
        <f>A9+1</f>
        <v>2</v>
      </c>
      <c r="B10" s="2">
        <f t="shared" ref="B10:E29" si="2">(SIN(B$7*$A10)/FACT($A10))*(-1)^($A10+1)</f>
        <v>-0.47552825814757677</v>
      </c>
      <c r="C10" s="2">
        <f t="shared" si="1"/>
        <v>-0.29389262614623662</v>
      </c>
      <c r="D10" s="2">
        <f t="shared" si="1"/>
        <v>0.29389262614623651</v>
      </c>
      <c r="E10" s="2">
        <f t="shared" si="1"/>
        <v>0.47552825814757682</v>
      </c>
    </row>
    <row r="11" spans="1:10" ht="15.6" x14ac:dyDescent="0.3">
      <c r="A11" s="2">
        <f t="shared" ref="A11:A48" si="3">A10+1</f>
        <v>3</v>
      </c>
      <c r="B11" s="2">
        <f t="shared" si="2"/>
        <v>0.15850941938252561</v>
      </c>
      <c r="C11" s="2">
        <f t="shared" si="1"/>
        <v>-9.7964208715412171E-2</v>
      </c>
      <c r="D11" s="2">
        <f t="shared" si="1"/>
        <v>-9.7964208715412227E-2</v>
      </c>
      <c r="E11" s="2">
        <f t="shared" si="1"/>
        <v>0.15850941938252558</v>
      </c>
    </row>
    <row r="12" spans="1:10" ht="15.6" x14ac:dyDescent="0.3">
      <c r="A12" s="2">
        <f t="shared" si="3"/>
        <v>4</v>
      </c>
      <c r="B12" s="2">
        <f t="shared" si="2"/>
        <v>-2.4491052178853053E-2</v>
      </c>
      <c r="C12" s="2">
        <f t="shared" si="1"/>
        <v>3.9627354845631402E-2</v>
      </c>
      <c r="D12" s="2">
        <f t="shared" si="1"/>
        <v>-3.9627354845631395E-2</v>
      </c>
      <c r="E12" s="2">
        <f t="shared" si="1"/>
        <v>2.4491052178853032E-2</v>
      </c>
    </row>
    <row r="13" spans="1:10" ht="15.6" x14ac:dyDescent="0.3">
      <c r="A13" s="2">
        <f t="shared" si="3"/>
        <v>5</v>
      </c>
      <c r="B13" s="2">
        <f t="shared" si="2"/>
        <v>1.0209570457571833E-18</v>
      </c>
      <c r="C13" s="2">
        <f t="shared" si="1"/>
        <v>-2.0419140915143666E-18</v>
      </c>
      <c r="D13" s="2">
        <f t="shared" si="1"/>
        <v>3.06287113727155E-18</v>
      </c>
      <c r="E13" s="2">
        <f t="shared" si="1"/>
        <v>-4.0838281830287331E-18</v>
      </c>
    </row>
    <row r="14" spans="1:10" ht="15.6" x14ac:dyDescent="0.3">
      <c r="A14" s="2">
        <f t="shared" si="3"/>
        <v>6</v>
      </c>
      <c r="B14" s="2">
        <f t="shared" si="2"/>
        <v>8.1636840596176804E-4</v>
      </c>
      <c r="C14" s="2">
        <f t="shared" si="1"/>
        <v>-1.3209118281877132E-3</v>
      </c>
      <c r="D14" s="2">
        <f t="shared" si="1"/>
        <v>1.3209118281877136E-3</v>
      </c>
      <c r="E14" s="2">
        <f t="shared" si="1"/>
        <v>-8.1636840596176891E-4</v>
      </c>
    </row>
    <row r="15" spans="1:10" ht="15.6" x14ac:dyDescent="0.3">
      <c r="A15" s="2">
        <f t="shared" si="3"/>
        <v>7</v>
      </c>
      <c r="B15" s="2">
        <f t="shared" si="2"/>
        <v>-1.887016897411019E-4</v>
      </c>
      <c r="C15" s="2">
        <f t="shared" si="1"/>
        <v>1.1662405799453837E-4</v>
      </c>
      <c r="D15" s="2">
        <f t="shared" si="1"/>
        <v>1.1662405799453824E-4</v>
      </c>
      <c r="E15" s="2">
        <f t="shared" si="1"/>
        <v>-1.8870168974110193E-4</v>
      </c>
    </row>
    <row r="16" spans="1:10" ht="15.6" x14ac:dyDescent="0.3">
      <c r="A16" s="2">
        <f t="shared" si="3"/>
        <v>8</v>
      </c>
      <c r="B16" s="2">
        <f t="shared" si="2"/>
        <v>2.3587711217637738E-5</v>
      </c>
      <c r="C16" s="2">
        <f t="shared" si="1"/>
        <v>1.4578007249317281E-5</v>
      </c>
      <c r="D16" s="2">
        <f t="shared" si="1"/>
        <v>-1.4578007249317301E-5</v>
      </c>
      <c r="E16" s="2">
        <f t="shared" si="1"/>
        <v>-2.3587711217637731E-5</v>
      </c>
    </row>
    <row r="17" spans="1:5" ht="15.6" x14ac:dyDescent="0.3">
      <c r="A17" s="2">
        <f t="shared" si="3"/>
        <v>9</v>
      </c>
      <c r="B17" s="2">
        <f t="shared" si="2"/>
        <v>-1.6197785832574773E-6</v>
      </c>
      <c r="C17" s="2">
        <f t="shared" si="1"/>
        <v>-2.620856801959749E-6</v>
      </c>
      <c r="D17" s="2">
        <f t="shared" si="1"/>
        <v>-2.6208568019597481E-6</v>
      </c>
      <c r="E17" s="2">
        <f t="shared" si="1"/>
        <v>-1.6197785832574748E-6</v>
      </c>
    </row>
    <row r="18" spans="1:5" ht="15.6" x14ac:dyDescent="0.3">
      <c r="A18" s="2">
        <f t="shared" si="3"/>
        <v>10</v>
      </c>
      <c r="B18" s="2">
        <f t="shared" si="2"/>
        <v>6.7523614137379856E-23</v>
      </c>
      <c r="C18" s="2">
        <f t="shared" si="1"/>
        <v>1.3504722827475971E-22</v>
      </c>
      <c r="D18" s="2">
        <f t="shared" si="1"/>
        <v>2.0257084241213955E-22</v>
      </c>
      <c r="E18" s="2">
        <f t="shared" si="1"/>
        <v>2.7009445654951943E-22</v>
      </c>
    </row>
    <row r="19" spans="1:5" ht="15.6" x14ac:dyDescent="0.3">
      <c r="A19" s="2">
        <f t="shared" si="3"/>
        <v>11</v>
      </c>
      <c r="B19" s="2">
        <f t="shared" si="2"/>
        <v>1.4725259847795237E-8</v>
      </c>
      <c r="C19" s="2">
        <f t="shared" si="1"/>
        <v>2.3825970926906802E-8</v>
      </c>
      <c r="D19" s="2">
        <f t="shared" si="1"/>
        <v>2.3825970926906812E-8</v>
      </c>
      <c r="E19" s="2">
        <f t="shared" si="1"/>
        <v>1.4725259847795265E-8</v>
      </c>
    </row>
    <row r="20" spans="1:5" ht="15.6" x14ac:dyDescent="0.3">
      <c r="A20" s="2">
        <f t="shared" si="3"/>
        <v>12</v>
      </c>
      <c r="B20" s="2">
        <f t="shared" si="2"/>
        <v>-1.9854975772422338E-9</v>
      </c>
      <c r="C20" s="2">
        <f t="shared" si="1"/>
        <v>-1.2271049873162712E-9</v>
      </c>
      <c r="D20" s="2">
        <f t="shared" si="1"/>
        <v>1.2271049873162689E-9</v>
      </c>
      <c r="E20" s="2">
        <f t="shared" si="1"/>
        <v>1.9854975772422346E-9</v>
      </c>
    </row>
    <row r="21" spans="1:5" ht="15.6" x14ac:dyDescent="0.3">
      <c r="A21" s="2">
        <f t="shared" si="3"/>
        <v>13</v>
      </c>
      <c r="B21" s="2">
        <f t="shared" si="2"/>
        <v>1.5273058286478723E-10</v>
      </c>
      <c r="C21" s="2">
        <f t="shared" si="1"/>
        <v>-9.43926913320207E-11</v>
      </c>
      <c r="D21" s="2">
        <f t="shared" si="1"/>
        <v>-9.4392691332020907E-11</v>
      </c>
      <c r="E21" s="2">
        <f t="shared" si="1"/>
        <v>1.5273058286478715E-10</v>
      </c>
    </row>
    <row r="22" spans="1:5" ht="15.6" x14ac:dyDescent="0.3">
      <c r="A22" s="2">
        <f t="shared" si="3"/>
        <v>14</v>
      </c>
      <c r="B22" s="2">
        <f t="shared" si="2"/>
        <v>-6.7423350951443445E-12</v>
      </c>
      <c r="C22" s="2">
        <f t="shared" si="1"/>
        <v>1.0909327347484803E-11</v>
      </c>
      <c r="D22" s="2">
        <f t="shared" si="1"/>
        <v>-1.0909327347484798E-11</v>
      </c>
      <c r="E22" s="2">
        <f t="shared" si="1"/>
        <v>6.7423350951443292E-12</v>
      </c>
    </row>
    <row r="23" spans="1:5" ht="15.6" x14ac:dyDescent="0.3">
      <c r="A23" s="2">
        <f t="shared" si="3"/>
        <v>15</v>
      </c>
      <c r="B23" s="2">
        <f t="shared" si="2"/>
        <v>2.8106732491416856E-28</v>
      </c>
      <c r="C23" s="2">
        <f t="shared" si="1"/>
        <v>-5.6213464982833711E-28</v>
      </c>
      <c r="D23" s="2">
        <f t="shared" si="1"/>
        <v>8.4320197474250562E-28</v>
      </c>
      <c r="E23" s="2">
        <f t="shared" si="1"/>
        <v>-1.1242692996566742E-27</v>
      </c>
    </row>
    <row r="24" spans="1:5" ht="15.6" x14ac:dyDescent="0.3">
      <c r="A24" s="2">
        <f t="shared" si="3"/>
        <v>16</v>
      </c>
      <c r="B24" s="2">
        <f t="shared" si="2"/>
        <v>2.8093062896434741E-14</v>
      </c>
      <c r="C24" s="2">
        <f t="shared" si="1"/>
        <v>-4.5455530614519994E-14</v>
      </c>
      <c r="D24" s="2">
        <f t="shared" si="1"/>
        <v>4.5455530614520026E-14</v>
      </c>
      <c r="E24" s="2">
        <f t="shared" si="1"/>
        <v>-2.8093062896434817E-14</v>
      </c>
    </row>
    <row r="25" spans="1:5" ht="15.6" x14ac:dyDescent="0.3">
      <c r="A25" s="2">
        <f t="shared" si="3"/>
        <v>17</v>
      </c>
      <c r="B25" s="2">
        <f t="shared" si="2"/>
        <v>-2.6738547420305881E-15</v>
      </c>
      <c r="C25" s="2">
        <f t="shared" si="1"/>
        <v>1.6525331115549875E-15</v>
      </c>
      <c r="D25" s="2">
        <f t="shared" si="1"/>
        <v>1.6525331115549749E-15</v>
      </c>
      <c r="E25" s="2">
        <f t="shared" si="1"/>
        <v>-2.6738547420305901E-15</v>
      </c>
    </row>
    <row r="26" spans="1:5" ht="15.6" x14ac:dyDescent="0.3">
      <c r="A26" s="2">
        <f t="shared" si="3"/>
        <v>18</v>
      </c>
      <c r="B26" s="2">
        <f t="shared" si="2"/>
        <v>1.4854748566836605E-16</v>
      </c>
      <c r="C26" s="2">
        <f t="shared" si="1"/>
        <v>9.1807395086387993E-17</v>
      </c>
      <c r="D26" s="2">
        <f t="shared" si="1"/>
        <v>-9.1807395086388276E-17</v>
      </c>
      <c r="E26" s="2">
        <f t="shared" si="1"/>
        <v>-1.4854748566836593E-16</v>
      </c>
    </row>
    <row r="27" spans="1:5" ht="15.6" x14ac:dyDescent="0.3">
      <c r="A27" s="2">
        <f t="shared" si="3"/>
        <v>19</v>
      </c>
      <c r="B27" s="2">
        <f t="shared" si="2"/>
        <v>-4.8319681624414815E-18</v>
      </c>
      <c r="C27" s="2">
        <f t="shared" si="1"/>
        <v>-7.8182887193876886E-18</v>
      </c>
      <c r="D27" s="2">
        <f t="shared" si="1"/>
        <v>-7.8182887193876901E-18</v>
      </c>
      <c r="E27" s="2">
        <f t="shared" si="1"/>
        <v>-4.8319681624414661E-18</v>
      </c>
    </row>
    <row r="28" spans="1:5" ht="15.6" x14ac:dyDescent="0.3">
      <c r="A28" s="2">
        <f t="shared" si="3"/>
        <v>20</v>
      </c>
      <c r="B28" s="2">
        <f t="shared" si="2"/>
        <v>2.014299714153828E-34</v>
      </c>
      <c r="C28" s="2">
        <f t="shared" si="1"/>
        <v>4.028599428307656E-34</v>
      </c>
      <c r="D28" s="2">
        <f t="shared" si="1"/>
        <v>6.0428991424614836E-34</v>
      </c>
      <c r="E28" s="2">
        <f t="shared" si="1"/>
        <v>8.0571988566153121E-34</v>
      </c>
    </row>
    <row r="29" spans="1:5" ht="15.6" x14ac:dyDescent="0.3">
      <c r="A29" s="2">
        <f t="shared" si="3"/>
        <v>21</v>
      </c>
      <c r="B29" s="2">
        <f t="shared" si="2"/>
        <v>1.1504686101051132E-20</v>
      </c>
      <c r="C29" s="2">
        <f t="shared" si="2"/>
        <v>1.8614973141399247E-20</v>
      </c>
      <c r="D29" s="2">
        <f t="shared" si="2"/>
        <v>1.8614973141399283E-20</v>
      </c>
      <c r="E29" s="2">
        <f t="shared" si="2"/>
        <v>1.1504686101051172E-20</v>
      </c>
    </row>
    <row r="30" spans="1:5" ht="15.6" x14ac:dyDescent="0.3">
      <c r="A30" s="2">
        <f t="shared" si="3"/>
        <v>22</v>
      </c>
      <c r="B30" s="2">
        <f t="shared" ref="B30:E48" si="4">(SIN(B$7*$A30)/FACT($A30))*(-1)^($A30+1)</f>
        <v>-8.461351427908749E-22</v>
      </c>
      <c r="C30" s="2">
        <f t="shared" si="4"/>
        <v>-5.2294027732050719E-22</v>
      </c>
      <c r="D30" s="2">
        <f t="shared" si="4"/>
        <v>5.2294027732050522E-22</v>
      </c>
      <c r="E30" s="2">
        <f t="shared" si="4"/>
        <v>8.4613514279087565E-22</v>
      </c>
    </row>
    <row r="31" spans="1:5" ht="15.6" x14ac:dyDescent="0.3">
      <c r="A31" s="2">
        <f t="shared" si="3"/>
        <v>23</v>
      </c>
      <c r="B31" s="2">
        <f t="shared" si="4"/>
        <v>3.6788484469168484E-23</v>
      </c>
      <c r="C31" s="2">
        <f t="shared" si="4"/>
        <v>-2.273653379654372E-23</v>
      </c>
      <c r="D31" s="2">
        <f t="shared" si="4"/>
        <v>-2.2736533796543693E-23</v>
      </c>
      <c r="E31" s="2">
        <f t="shared" si="4"/>
        <v>3.6788484469168454E-23</v>
      </c>
    </row>
    <row r="32" spans="1:5" ht="15.6" x14ac:dyDescent="0.3">
      <c r="A32" s="2">
        <f t="shared" si="3"/>
        <v>24</v>
      </c>
      <c r="B32" s="2">
        <f t="shared" si="4"/>
        <v>-9.4735557485599052E-25</v>
      </c>
      <c r="C32" s="2">
        <f t="shared" si="4"/>
        <v>1.5328535195486874E-24</v>
      </c>
      <c r="D32" s="2">
        <f t="shared" si="4"/>
        <v>-1.5328535195486858E-24</v>
      </c>
      <c r="E32" s="2">
        <f t="shared" si="4"/>
        <v>9.4735557485598684E-25</v>
      </c>
    </row>
    <row r="33" spans="1:5" ht="15.6" x14ac:dyDescent="0.3">
      <c r="A33" s="2">
        <f t="shared" si="3"/>
        <v>25</v>
      </c>
      <c r="B33" s="2">
        <f t="shared" si="4"/>
        <v>3.9492355898931636E-41</v>
      </c>
      <c r="C33" s="2">
        <f t="shared" si="4"/>
        <v>-7.8984711797863272E-41</v>
      </c>
      <c r="D33" s="2">
        <f t="shared" si="4"/>
        <v>3.475187523155899E-40</v>
      </c>
      <c r="E33" s="2">
        <f t="shared" si="4"/>
        <v>-1.5796942359572654E-40</v>
      </c>
    </row>
    <row r="34" spans="1:5" ht="15.6" x14ac:dyDescent="0.3">
      <c r="A34" s="2">
        <f t="shared" si="3"/>
        <v>26</v>
      </c>
      <c r="B34" s="2">
        <f t="shared" si="4"/>
        <v>1.4574701151630596E-27</v>
      </c>
      <c r="C34" s="2">
        <f t="shared" si="4"/>
        <v>-2.3582361839210551E-27</v>
      </c>
      <c r="D34" s="2">
        <f t="shared" si="4"/>
        <v>2.3582361839210576E-27</v>
      </c>
      <c r="E34" s="2">
        <f t="shared" si="4"/>
        <v>-1.4574701151630659E-27</v>
      </c>
    </row>
    <row r="35" spans="1:5" ht="15.6" x14ac:dyDescent="0.3">
      <c r="A35" s="2">
        <f t="shared" si="3"/>
        <v>27</v>
      </c>
      <c r="B35" s="2">
        <f t="shared" si="4"/>
        <v>-8.7342080885965043E-29</v>
      </c>
      <c r="C35" s="2">
        <f t="shared" si="4"/>
        <v>5.3980374635669036E-29</v>
      </c>
      <c r="D35" s="2">
        <f t="shared" si="4"/>
        <v>5.3980374635669048E-29</v>
      </c>
      <c r="E35" s="2">
        <f t="shared" si="4"/>
        <v>-8.7342080885965133E-29</v>
      </c>
    </row>
    <row r="36" spans="1:5" ht="15.6" x14ac:dyDescent="0.3">
      <c r="A36" s="2">
        <f t="shared" si="3"/>
        <v>28</v>
      </c>
      <c r="B36" s="2">
        <f t="shared" si="4"/>
        <v>3.1193600316416104E-30</v>
      </c>
      <c r="C36" s="2">
        <f t="shared" si="4"/>
        <v>1.9278705227024587E-30</v>
      </c>
      <c r="D36" s="2">
        <f t="shared" si="4"/>
        <v>-1.9278705227024678E-30</v>
      </c>
      <c r="E36" s="2">
        <f t="shared" si="4"/>
        <v>-3.1193600316416069E-30</v>
      </c>
    </row>
    <row r="37" spans="1:5" ht="15.6" x14ac:dyDescent="0.3">
      <c r="A37" s="2">
        <f t="shared" si="3"/>
        <v>29</v>
      </c>
      <c r="B37" s="2">
        <f t="shared" si="4"/>
        <v>-6.6478293886291864E-32</v>
      </c>
      <c r="C37" s="2">
        <f t="shared" si="4"/>
        <v>-1.0756413902212451E-31</v>
      </c>
      <c r="D37" s="2">
        <f t="shared" si="4"/>
        <v>-1.0756413902212427E-31</v>
      </c>
      <c r="E37" s="2">
        <f t="shared" si="4"/>
        <v>-6.6478293886291535E-32</v>
      </c>
    </row>
    <row r="38" spans="1:5" ht="15.6" x14ac:dyDescent="0.3">
      <c r="A38" s="2">
        <f t="shared" si="3"/>
        <v>30</v>
      </c>
      <c r="B38" s="2">
        <f t="shared" si="4"/>
        <v>2.7712767110810506E-48</v>
      </c>
      <c r="C38" s="2">
        <f t="shared" si="4"/>
        <v>5.5425534221621012E-48</v>
      </c>
      <c r="D38" s="2">
        <f t="shared" si="4"/>
        <v>8.313830133243153E-48</v>
      </c>
      <c r="E38" s="2">
        <f t="shared" si="4"/>
        <v>1.1085106844324202E-47</v>
      </c>
    </row>
    <row r="39" spans="1:5" ht="15.6" x14ac:dyDescent="0.3">
      <c r="A39" s="2">
        <f t="shared" si="3"/>
        <v>31</v>
      </c>
      <c r="B39" s="2">
        <f t="shared" si="4"/>
        <v>7.14820364368728E-35</v>
      </c>
      <c r="C39" s="2">
        <f t="shared" si="4"/>
        <v>1.156603645399187E-34</v>
      </c>
      <c r="D39" s="2">
        <f t="shared" si="4"/>
        <v>1.1566036453991872E-34</v>
      </c>
      <c r="E39" s="2">
        <f t="shared" si="4"/>
        <v>7.1482036436873185E-35</v>
      </c>
    </row>
    <row r="40" spans="1:5" ht="15.6" x14ac:dyDescent="0.3">
      <c r="A40" s="2">
        <f t="shared" si="3"/>
        <v>32</v>
      </c>
      <c r="B40" s="2">
        <f t="shared" si="4"/>
        <v>-3.61438639187246E-36</v>
      </c>
      <c r="C40" s="2">
        <f t="shared" si="4"/>
        <v>-2.2338136386522824E-36</v>
      </c>
      <c r="D40" s="2">
        <f t="shared" si="4"/>
        <v>2.2338136386522707E-36</v>
      </c>
      <c r="E40" s="2">
        <f t="shared" si="4"/>
        <v>3.6143863918724647E-36</v>
      </c>
    </row>
    <row r="41" spans="1:5" ht="15.6" x14ac:dyDescent="0.3">
      <c r="A41" s="2">
        <f t="shared" si="3"/>
        <v>33</v>
      </c>
      <c r="B41" s="2">
        <f t="shared" si="4"/>
        <v>1.0952686035977155E-37</v>
      </c>
      <c r="C41" s="2">
        <f t="shared" si="4"/>
        <v>-6.7691322383402187E-38</v>
      </c>
      <c r="D41" s="2">
        <f t="shared" si="4"/>
        <v>-6.7691322383402887E-38</v>
      </c>
      <c r="E41" s="2">
        <f t="shared" si="4"/>
        <v>1.095268603597714E-37</v>
      </c>
    </row>
    <row r="42" spans="1:5" ht="15.6" x14ac:dyDescent="0.3">
      <c r="A42" s="2">
        <f t="shared" si="3"/>
        <v>34</v>
      </c>
      <c r="B42" s="2">
        <f t="shared" si="4"/>
        <v>-1.9909212465706601E-39</v>
      </c>
      <c r="C42" s="2">
        <f t="shared" si="4"/>
        <v>3.2213782458756366E-39</v>
      </c>
      <c r="D42" s="2">
        <f t="shared" si="4"/>
        <v>-3.2213782458756248E-39</v>
      </c>
      <c r="E42" s="2">
        <f t="shared" si="4"/>
        <v>1.9909212465706491E-39</v>
      </c>
    </row>
    <row r="43" spans="1:5" ht="15.6" x14ac:dyDescent="0.3">
      <c r="A43" s="2">
        <f t="shared" si="3"/>
        <v>35</v>
      </c>
      <c r="B43" s="2">
        <f t="shared" si="4"/>
        <v>8.2995416423516817E-56</v>
      </c>
      <c r="C43" s="2">
        <f t="shared" si="4"/>
        <v>-1.6599083284703363E-55</v>
      </c>
      <c r="D43" s="2">
        <f t="shared" si="4"/>
        <v>-9.4830919549398869E-56</v>
      </c>
      <c r="E43" s="2">
        <f t="shared" si="4"/>
        <v>-3.3198166569406727E-55</v>
      </c>
    </row>
    <row r="44" spans="1:5" ht="15.6" x14ac:dyDescent="0.3">
      <c r="A44" s="2">
        <f t="shared" si="3"/>
        <v>36</v>
      </c>
      <c r="B44" s="2">
        <f t="shared" si="4"/>
        <v>1.5800962274370277E-42</v>
      </c>
      <c r="C44" s="2">
        <f t="shared" si="4"/>
        <v>-2.5566494014885962E-42</v>
      </c>
      <c r="D44" s="2">
        <f t="shared" si="4"/>
        <v>2.5566494014886E-42</v>
      </c>
      <c r="E44" s="2">
        <f t="shared" si="4"/>
        <v>-1.5800962274370373E-42</v>
      </c>
    </row>
    <row r="45" spans="1:5" ht="15.6" x14ac:dyDescent="0.3">
      <c r="A45" s="2">
        <f t="shared" si="3"/>
        <v>37</v>
      </c>
      <c r="B45" s="2">
        <f t="shared" si="4"/>
        <v>-6.9098632472664803E-44</v>
      </c>
      <c r="C45" s="2">
        <f t="shared" si="4"/>
        <v>4.2705303444244155E-44</v>
      </c>
      <c r="D45" s="2">
        <f t="shared" si="4"/>
        <v>4.2705303444243677E-44</v>
      </c>
      <c r="E45" s="2">
        <f t="shared" si="4"/>
        <v>-6.9098632472664903E-44</v>
      </c>
    </row>
    <row r="46" spans="1:5" ht="15.6" x14ac:dyDescent="0.3">
      <c r="A46" s="2">
        <f t="shared" si="3"/>
        <v>38</v>
      </c>
      <c r="B46" s="2">
        <f t="shared" si="4"/>
        <v>1.8183850650701278E-45</v>
      </c>
      <c r="C46" s="2">
        <f t="shared" si="4"/>
        <v>1.1238237748485248E-45</v>
      </c>
      <c r="D46" s="2">
        <f t="shared" si="4"/>
        <v>-1.1238237748485212E-45</v>
      </c>
      <c r="E46" s="2">
        <f t="shared" si="4"/>
        <v>-1.818385065070125E-45</v>
      </c>
    </row>
    <row r="47" spans="1:5" ht="15.6" x14ac:dyDescent="0.3">
      <c r="A47" s="2">
        <f t="shared" si="3"/>
        <v>39</v>
      </c>
      <c r="B47" s="2">
        <f t="shared" si="4"/>
        <v>-2.8815994226885356E-47</v>
      </c>
      <c r="C47" s="2">
        <f t="shared" si="4"/>
        <v>-4.6625258078721223E-47</v>
      </c>
      <c r="D47" s="2">
        <f t="shared" si="4"/>
        <v>-4.6625258078721204E-47</v>
      </c>
      <c r="E47" s="2">
        <f t="shared" si="4"/>
        <v>-2.8815994226885166E-47</v>
      </c>
    </row>
    <row r="48" spans="1:5" ht="16.2" thickBot="1" x14ac:dyDescent="0.35">
      <c r="A48" s="3">
        <f t="shared" si="3"/>
        <v>40</v>
      </c>
      <c r="B48" s="2">
        <f t="shared" si="4"/>
        <v>1.2012506494857609E-63</v>
      </c>
      <c r="C48" s="2">
        <f t="shared" si="4"/>
        <v>2.4025012989715218E-63</v>
      </c>
      <c r="D48" s="2">
        <f t="shared" si="4"/>
        <v>3.6037519484572823E-63</v>
      </c>
      <c r="E48" s="2">
        <f t="shared" si="4"/>
        <v>4.8050025979430436E-63</v>
      </c>
    </row>
    <row r="49" spans="1:5" ht="16.2" thickBot="1" x14ac:dyDescent="0.35">
      <c r="A49" s="11" t="s">
        <v>2</v>
      </c>
      <c r="B49" s="10">
        <f>SUM(B9:B48)</f>
        <v>0.24692500888320004</v>
      </c>
      <c r="C49" s="10">
        <f t="shared" ref="C49:E49" si="5">SUM(C9:C48)</f>
        <v>0.59763472817472929</v>
      </c>
      <c r="D49" s="10">
        <f t="shared" si="5"/>
        <v>1.1087779408502985</v>
      </c>
      <c r="E49" s="10">
        <f t="shared" si="5"/>
        <v>1.2452837212861245</v>
      </c>
    </row>
    <row r="50" spans="1:5" ht="16.2" thickBot="1" x14ac:dyDescent="0.35">
      <c r="A50" s="11" t="s">
        <v>3</v>
      </c>
      <c r="B50" s="10">
        <f>B$7/2</f>
        <v>0.31415926535897931</v>
      </c>
      <c r="C50" s="10">
        <f t="shared" ref="C50:E50" si="6">C$7/2</f>
        <v>0.62831853071795862</v>
      </c>
      <c r="D50" s="10">
        <f t="shared" si="6"/>
        <v>0.94247779607693793</v>
      </c>
      <c r="E50" s="10">
        <f t="shared" si="6"/>
        <v>1.2566370614359172</v>
      </c>
    </row>
  </sheetData>
  <mergeCells count="8">
    <mergeCell ref="A1:B1"/>
    <mergeCell ref="A2:J2"/>
    <mergeCell ref="B4:E5"/>
    <mergeCell ref="A7:A8"/>
    <mergeCell ref="B7:B8"/>
    <mergeCell ref="C7:C8"/>
    <mergeCell ref="D7:D8"/>
    <mergeCell ref="E7:E8"/>
  </mergeCells>
  <conditionalFormatting sqref="B9:E50">
    <cfRule type="cellIs" dxfId="10" priority="3" operator="greaterThan">
      <formula>1.5</formula>
    </cfRule>
    <cfRule type="cellIs" dxfId="9" priority="2" operator="lessThan">
      <formula>0</formula>
    </cfRule>
    <cfRule type="cellIs" dxfId="8" priority="1" operator="greaterThan">
      <formula>1.5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25"/>
  <sheetViews>
    <sheetView zoomScale="74" workbookViewId="0">
      <selection activeCell="E18" sqref="E18"/>
    </sheetView>
  </sheetViews>
  <sheetFormatPr defaultRowHeight="14.4" x14ac:dyDescent="0.3"/>
  <sheetData>
    <row r="1" spans="1:12" ht="15.6" x14ac:dyDescent="0.3">
      <c r="A1" s="21" t="s">
        <v>15</v>
      </c>
      <c r="B1" s="21"/>
      <c r="C1" s="1"/>
      <c r="D1" s="1"/>
      <c r="E1" s="1"/>
      <c r="F1" s="1"/>
      <c r="G1" s="1"/>
      <c r="H1" s="1"/>
      <c r="I1" s="1"/>
      <c r="J1" s="1"/>
    </row>
    <row r="2" spans="1:12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2" ht="15.6" x14ac:dyDescent="0.3">
      <c r="A3" s="1"/>
      <c r="B3" s="20"/>
      <c r="C3" s="20"/>
      <c r="D3" s="20"/>
      <c r="E3" s="20"/>
      <c r="F3" s="1"/>
      <c r="G3" s="1"/>
      <c r="H3" s="1"/>
      <c r="I3" s="1"/>
      <c r="J3" s="1"/>
    </row>
    <row r="4" spans="1:12" ht="15.6" x14ac:dyDescent="0.3">
      <c r="A4" s="1"/>
      <c r="B4" s="20"/>
      <c r="C4" s="20"/>
      <c r="D4" s="20"/>
      <c r="E4" s="20"/>
      <c r="F4" s="1"/>
      <c r="G4" s="1"/>
      <c r="H4" s="1"/>
      <c r="I4" s="1"/>
      <c r="J4" s="1"/>
    </row>
    <row r="5" spans="1:12" ht="15.6" x14ac:dyDescent="0.3">
      <c r="A5" s="1"/>
      <c r="B5" s="20"/>
      <c r="C5" s="20"/>
      <c r="D5" s="12"/>
      <c r="E5" s="1"/>
      <c r="F5" s="1"/>
      <c r="G5" s="1"/>
      <c r="H5" s="1"/>
      <c r="I5" s="1"/>
      <c r="J5" s="1"/>
    </row>
    <row r="6" spans="1:12" ht="16.2" thickBot="1" x14ac:dyDescent="0.35">
      <c r="A6" s="1"/>
      <c r="B6" s="13"/>
      <c r="C6" s="13"/>
      <c r="D6" s="13"/>
      <c r="E6" s="1"/>
      <c r="F6" s="1"/>
      <c r="G6" s="1"/>
      <c r="H6" s="1"/>
      <c r="I6" s="1"/>
      <c r="J6" s="1"/>
    </row>
    <row r="7" spans="1:12" ht="14.4" customHeight="1" x14ac:dyDescent="0.3">
      <c r="A7" s="23" t="s">
        <v>19</v>
      </c>
      <c r="B7" s="25">
        <v>1</v>
      </c>
      <c r="C7" s="27">
        <f>B7+0.1</f>
        <v>1.1000000000000001</v>
      </c>
      <c r="D7" s="27">
        <f t="shared" ref="D7:K7" si="0">C7+0.1</f>
        <v>1.2000000000000002</v>
      </c>
      <c r="E7" s="27">
        <f t="shared" si="0"/>
        <v>1.3000000000000003</v>
      </c>
      <c r="F7" s="27">
        <f t="shared" si="0"/>
        <v>1.4000000000000004</v>
      </c>
      <c r="G7" s="27">
        <f t="shared" si="0"/>
        <v>1.5000000000000004</v>
      </c>
      <c r="H7" s="27">
        <f t="shared" si="0"/>
        <v>1.6000000000000005</v>
      </c>
      <c r="I7" s="27">
        <f t="shared" si="0"/>
        <v>1.7000000000000006</v>
      </c>
      <c r="J7" s="27">
        <f t="shared" si="0"/>
        <v>1.8000000000000007</v>
      </c>
      <c r="K7" s="27">
        <f t="shared" si="0"/>
        <v>1.9000000000000008</v>
      </c>
      <c r="L7" s="27">
        <f t="shared" ref="L7" si="1">K7+0.1</f>
        <v>2.0000000000000009</v>
      </c>
    </row>
    <row r="8" spans="1:12" ht="15" customHeight="1" thickBot="1" x14ac:dyDescent="0.35">
      <c r="A8" s="24"/>
      <c r="B8" s="26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2" ht="15.6" x14ac:dyDescent="0.3">
      <c r="A9" s="2">
        <v>1</v>
      </c>
      <c r="B9" s="2">
        <f>(B$7^($A9-1))/FACT($A9-1)</f>
        <v>1</v>
      </c>
      <c r="C9" s="2">
        <f t="shared" ref="C9:L23" si="2">(C$7^($A9-1))/FACT($A9-1)</f>
        <v>1</v>
      </c>
      <c r="D9" s="2">
        <f t="shared" si="2"/>
        <v>1</v>
      </c>
      <c r="E9" s="2">
        <f t="shared" si="2"/>
        <v>1</v>
      </c>
      <c r="F9" s="2">
        <f t="shared" si="2"/>
        <v>1</v>
      </c>
      <c r="G9" s="2">
        <f t="shared" si="2"/>
        <v>1</v>
      </c>
      <c r="H9" s="2">
        <f t="shared" si="2"/>
        <v>1</v>
      </c>
      <c r="I9" s="2">
        <f t="shared" si="2"/>
        <v>1</v>
      </c>
      <c r="J9" s="2">
        <f t="shared" si="2"/>
        <v>1</v>
      </c>
      <c r="K9" s="2">
        <f t="shared" si="2"/>
        <v>1</v>
      </c>
      <c r="L9" s="2">
        <f t="shared" si="2"/>
        <v>1</v>
      </c>
    </row>
    <row r="10" spans="1:12" ht="15.6" x14ac:dyDescent="0.3">
      <c r="A10" s="2">
        <f>A9+1</f>
        <v>2</v>
      </c>
      <c r="B10" s="2">
        <f t="shared" ref="B10:B23" si="3">(B$7^($A10-1))/FACT($A10-1)</f>
        <v>1</v>
      </c>
      <c r="C10" s="2">
        <f t="shared" si="2"/>
        <v>1.1000000000000001</v>
      </c>
      <c r="D10" s="2">
        <f t="shared" si="2"/>
        <v>1.2000000000000002</v>
      </c>
      <c r="E10" s="2">
        <f t="shared" si="2"/>
        <v>1.3000000000000003</v>
      </c>
      <c r="F10" s="2">
        <f t="shared" si="2"/>
        <v>1.4000000000000004</v>
      </c>
      <c r="G10" s="2">
        <f t="shared" si="2"/>
        <v>1.5000000000000004</v>
      </c>
      <c r="H10" s="2">
        <f t="shared" si="2"/>
        <v>1.6000000000000005</v>
      </c>
      <c r="I10" s="2">
        <f t="shared" si="2"/>
        <v>1.7000000000000006</v>
      </c>
      <c r="J10" s="2">
        <f t="shared" si="2"/>
        <v>1.8000000000000007</v>
      </c>
      <c r="K10" s="2">
        <f t="shared" si="2"/>
        <v>1.9000000000000008</v>
      </c>
      <c r="L10" s="2">
        <f t="shared" si="2"/>
        <v>2.0000000000000009</v>
      </c>
    </row>
    <row r="11" spans="1:12" ht="15.6" x14ac:dyDescent="0.3">
      <c r="A11" s="2">
        <f t="shared" ref="A11:A23" si="4">A10+1</f>
        <v>3</v>
      </c>
      <c r="B11" s="2">
        <f t="shared" si="3"/>
        <v>0.5</v>
      </c>
      <c r="C11" s="2">
        <f t="shared" si="2"/>
        <v>0.60500000000000009</v>
      </c>
      <c r="D11" s="2">
        <f t="shared" si="2"/>
        <v>0.7200000000000002</v>
      </c>
      <c r="E11" s="2">
        <f t="shared" si="2"/>
        <v>0.84500000000000031</v>
      </c>
      <c r="F11" s="2">
        <f t="shared" si="2"/>
        <v>0.98000000000000054</v>
      </c>
      <c r="G11" s="2">
        <f t="shared" si="2"/>
        <v>1.1250000000000007</v>
      </c>
      <c r="H11" s="2">
        <f t="shared" si="2"/>
        <v>1.2800000000000009</v>
      </c>
      <c r="I11" s="2">
        <f t="shared" si="2"/>
        <v>1.445000000000001</v>
      </c>
      <c r="J11" s="2">
        <f t="shared" si="2"/>
        <v>1.6200000000000012</v>
      </c>
      <c r="K11" s="2">
        <f t="shared" si="2"/>
        <v>1.8050000000000015</v>
      </c>
      <c r="L11" s="2">
        <f t="shared" si="2"/>
        <v>2.0000000000000018</v>
      </c>
    </row>
    <row r="12" spans="1:12" ht="15.6" x14ac:dyDescent="0.3">
      <c r="A12" s="2">
        <f t="shared" si="4"/>
        <v>4</v>
      </c>
      <c r="B12" s="2">
        <f t="shared" si="3"/>
        <v>0.16666666666666666</v>
      </c>
      <c r="C12" s="2">
        <f t="shared" si="2"/>
        <v>0.22183333333333341</v>
      </c>
      <c r="D12" s="2">
        <f t="shared" si="2"/>
        <v>0.28800000000000009</v>
      </c>
      <c r="E12" s="2">
        <f t="shared" si="2"/>
        <v>0.36616666666666692</v>
      </c>
      <c r="F12" s="2">
        <f t="shared" si="2"/>
        <v>0.45733333333333365</v>
      </c>
      <c r="G12" s="2">
        <f t="shared" si="2"/>
        <v>0.56250000000000056</v>
      </c>
      <c r="H12" s="2">
        <f t="shared" si="2"/>
        <v>0.68266666666666742</v>
      </c>
      <c r="I12" s="2">
        <f t="shared" si="2"/>
        <v>0.81883333333333408</v>
      </c>
      <c r="J12" s="2">
        <f t="shared" si="2"/>
        <v>0.9720000000000012</v>
      </c>
      <c r="K12" s="2">
        <f t="shared" si="2"/>
        <v>1.1431666666666682</v>
      </c>
      <c r="L12" s="2">
        <f t="shared" si="2"/>
        <v>1.333333333333335</v>
      </c>
    </row>
    <row r="13" spans="1:12" ht="15.6" x14ac:dyDescent="0.3">
      <c r="A13" s="2">
        <f t="shared" si="4"/>
        <v>5</v>
      </c>
      <c r="B13" s="2">
        <f t="shared" si="3"/>
        <v>4.1666666666666664E-2</v>
      </c>
      <c r="C13" s="2">
        <f t="shared" si="2"/>
        <v>6.1004166666666686E-2</v>
      </c>
      <c r="D13" s="2">
        <f t="shared" si="2"/>
        <v>8.6400000000000046E-2</v>
      </c>
      <c r="E13" s="2">
        <f t="shared" si="2"/>
        <v>0.11900416666666674</v>
      </c>
      <c r="F13" s="2">
        <f t="shared" si="2"/>
        <v>0.16006666666666683</v>
      </c>
      <c r="G13" s="2">
        <f t="shared" si="2"/>
        <v>0.21093750000000025</v>
      </c>
      <c r="H13" s="2">
        <f t="shared" si="2"/>
        <v>0.27306666666666707</v>
      </c>
      <c r="I13" s="2">
        <f t="shared" si="2"/>
        <v>0.34800416666666711</v>
      </c>
      <c r="J13" s="2">
        <f t="shared" si="2"/>
        <v>0.43740000000000068</v>
      </c>
      <c r="K13" s="2">
        <f t="shared" si="2"/>
        <v>0.54300416666666751</v>
      </c>
      <c r="L13" s="2">
        <f t="shared" si="2"/>
        <v>0.66666666666666785</v>
      </c>
    </row>
    <row r="14" spans="1:12" ht="15.6" x14ac:dyDescent="0.3">
      <c r="A14" s="2">
        <f t="shared" si="4"/>
        <v>6</v>
      </c>
      <c r="B14" s="2">
        <f t="shared" si="3"/>
        <v>8.3333333333333332E-3</v>
      </c>
      <c r="C14" s="2">
        <f t="shared" si="2"/>
        <v>1.3420916666666671E-2</v>
      </c>
      <c r="D14" s="2">
        <f t="shared" si="2"/>
        <v>2.0736000000000015E-2</v>
      </c>
      <c r="E14" s="2">
        <f t="shared" si="2"/>
        <v>3.0941083333333359E-2</v>
      </c>
      <c r="F14" s="2">
        <f t="shared" si="2"/>
        <v>4.4818666666666722E-2</v>
      </c>
      <c r="G14" s="2">
        <f t="shared" si="2"/>
        <v>6.3281250000000094E-2</v>
      </c>
      <c r="H14" s="2">
        <f t="shared" si="2"/>
        <v>8.7381333333333491E-2</v>
      </c>
      <c r="I14" s="2">
        <f t="shared" si="2"/>
        <v>0.11832141666666686</v>
      </c>
      <c r="J14" s="2">
        <f t="shared" si="2"/>
        <v>0.15746400000000033</v>
      </c>
      <c r="K14" s="2">
        <f t="shared" si="2"/>
        <v>0.20634158333333374</v>
      </c>
      <c r="L14" s="2">
        <f t="shared" si="2"/>
        <v>0.26666666666666727</v>
      </c>
    </row>
    <row r="15" spans="1:12" ht="15.6" x14ac:dyDescent="0.3">
      <c r="A15" s="2">
        <f t="shared" si="4"/>
        <v>7</v>
      </c>
      <c r="B15" s="2">
        <f t="shared" si="3"/>
        <v>1.3888888888888889E-3</v>
      </c>
      <c r="C15" s="2">
        <f t="shared" si="2"/>
        <v>2.4605013888888902E-3</v>
      </c>
      <c r="D15" s="2">
        <f t="shared" si="2"/>
        <v>4.1472000000000037E-3</v>
      </c>
      <c r="E15" s="2">
        <f t="shared" si="2"/>
        <v>6.7039013888888959E-3</v>
      </c>
      <c r="F15" s="2">
        <f t="shared" si="2"/>
        <v>1.0457688888888905E-2</v>
      </c>
      <c r="G15" s="2">
        <f t="shared" si="2"/>
        <v>1.5820312500000031E-2</v>
      </c>
      <c r="H15" s="2">
        <f t="shared" si="2"/>
        <v>2.3301688888888936E-2</v>
      </c>
      <c r="I15" s="2">
        <f t="shared" si="2"/>
        <v>3.3524401388888951E-2</v>
      </c>
      <c r="J15" s="2">
        <f t="shared" si="2"/>
        <v>4.7239200000000113E-2</v>
      </c>
      <c r="K15" s="2">
        <f t="shared" si="2"/>
        <v>6.5341501388889042E-2</v>
      </c>
      <c r="L15" s="2">
        <f t="shared" si="2"/>
        <v>8.8888888888889128E-2</v>
      </c>
    </row>
    <row r="16" spans="1:12" ht="15.6" x14ac:dyDescent="0.3">
      <c r="A16" s="2">
        <f t="shared" si="4"/>
        <v>8</v>
      </c>
      <c r="B16" s="2">
        <f t="shared" si="3"/>
        <v>1.9841269841269841E-4</v>
      </c>
      <c r="C16" s="2">
        <f t="shared" si="2"/>
        <v>3.8665021825396849E-4</v>
      </c>
      <c r="D16" s="2">
        <f t="shared" si="2"/>
        <v>7.109485714285722E-4</v>
      </c>
      <c r="E16" s="2">
        <f t="shared" si="2"/>
        <v>1.2450102579365096E-3</v>
      </c>
      <c r="F16" s="2">
        <f t="shared" si="2"/>
        <v>2.0915377777777815E-3</v>
      </c>
      <c r="G16" s="2">
        <f t="shared" si="2"/>
        <v>3.3900669642857213E-3</v>
      </c>
      <c r="H16" s="2">
        <f t="shared" si="2"/>
        <v>5.3261003174603309E-3</v>
      </c>
      <c r="I16" s="2">
        <f t="shared" si="2"/>
        <v>8.1416403373016054E-3</v>
      </c>
      <c r="J16" s="2">
        <f t="shared" si="2"/>
        <v>1.2147222857142891E-2</v>
      </c>
      <c r="K16" s="2">
        <f t="shared" si="2"/>
        <v>1.7735550376984179E-2</v>
      </c>
      <c r="L16" s="2">
        <f t="shared" si="2"/>
        <v>2.5396825396825477E-2</v>
      </c>
    </row>
    <row r="17" spans="1:12" ht="15.6" x14ac:dyDescent="0.3">
      <c r="A17" s="2">
        <f t="shared" si="4"/>
        <v>9</v>
      </c>
      <c r="B17" s="2">
        <f t="shared" si="3"/>
        <v>2.4801587301587302E-5</v>
      </c>
      <c r="C17" s="2">
        <f t="shared" si="2"/>
        <v>5.3164405009920662E-5</v>
      </c>
      <c r="D17" s="2">
        <f t="shared" si="2"/>
        <v>1.0664228571428583E-4</v>
      </c>
      <c r="E17" s="2">
        <f t="shared" si="2"/>
        <v>2.0231416691468283E-4</v>
      </c>
      <c r="F17" s="2">
        <f t="shared" si="2"/>
        <v>3.6601911111111188E-4</v>
      </c>
      <c r="G17" s="2">
        <f t="shared" si="2"/>
        <v>6.3563755580357297E-4</v>
      </c>
      <c r="H17" s="2">
        <f t="shared" si="2"/>
        <v>1.0652200634920666E-3</v>
      </c>
      <c r="I17" s="2">
        <f t="shared" si="2"/>
        <v>1.7300985716765917E-3</v>
      </c>
      <c r="J17" s="2">
        <f t="shared" si="2"/>
        <v>2.7331251428571513E-3</v>
      </c>
      <c r="K17" s="2">
        <f t="shared" si="2"/>
        <v>4.2121932145337444E-3</v>
      </c>
      <c r="L17" s="2">
        <f t="shared" si="2"/>
        <v>6.3492063492063718E-3</v>
      </c>
    </row>
    <row r="18" spans="1:12" ht="15.6" x14ac:dyDescent="0.3">
      <c r="A18" s="2">
        <f t="shared" si="4"/>
        <v>10</v>
      </c>
      <c r="B18" s="2">
        <f t="shared" si="3"/>
        <v>2.7557319223985893E-6</v>
      </c>
      <c r="C18" s="2">
        <f t="shared" si="2"/>
        <v>6.4978717234347482E-6</v>
      </c>
      <c r="D18" s="2">
        <f t="shared" si="2"/>
        <v>1.4218971428571447E-5</v>
      </c>
      <c r="E18" s="2">
        <f t="shared" si="2"/>
        <v>2.9223157443231969E-5</v>
      </c>
      <c r="F18" s="2">
        <f t="shared" si="2"/>
        <v>5.6936306172839643E-5</v>
      </c>
      <c r="G18" s="2">
        <f t="shared" si="2"/>
        <v>1.0593959263392886E-4</v>
      </c>
      <c r="H18" s="2">
        <f t="shared" si="2"/>
        <v>1.89372455731923E-4</v>
      </c>
      <c r="I18" s="2">
        <f t="shared" si="2"/>
        <v>3.2679639687224521E-4</v>
      </c>
      <c r="J18" s="2">
        <f t="shared" si="2"/>
        <v>5.4662502857143051E-4</v>
      </c>
      <c r="K18" s="2">
        <f t="shared" si="2"/>
        <v>8.8924078973490195E-4</v>
      </c>
      <c r="L18" s="2">
        <f t="shared" si="2"/>
        <v>1.4109347442680833E-3</v>
      </c>
    </row>
    <row r="19" spans="1:12" ht="15.6" x14ac:dyDescent="0.3">
      <c r="A19" s="2">
        <f t="shared" si="4"/>
        <v>11</v>
      </c>
      <c r="B19" s="2">
        <f t="shared" si="3"/>
        <v>2.7557319223985888E-7</v>
      </c>
      <c r="C19" s="2">
        <f t="shared" si="2"/>
        <v>7.1476588957782243E-7</v>
      </c>
      <c r="D19" s="2">
        <f t="shared" si="2"/>
        <v>1.7062765714285736E-6</v>
      </c>
      <c r="E19" s="2">
        <f t="shared" si="2"/>
        <v>3.7990104676201568E-6</v>
      </c>
      <c r="F19" s="2">
        <f t="shared" si="2"/>
        <v>7.971082864197553E-6</v>
      </c>
      <c r="G19" s="2">
        <f t="shared" si="2"/>
        <v>1.5890938895089336E-5</v>
      </c>
      <c r="H19" s="2">
        <f t="shared" si="2"/>
        <v>3.029959291710769E-5</v>
      </c>
      <c r="I19" s="2">
        <f t="shared" si="2"/>
        <v>5.5555387468281702E-5</v>
      </c>
      <c r="J19" s="2">
        <f t="shared" si="2"/>
        <v>9.8392505142857518E-5</v>
      </c>
      <c r="K19" s="2">
        <f t="shared" si="2"/>
        <v>1.6895575004963141E-4</v>
      </c>
      <c r="L19" s="2">
        <f t="shared" si="2"/>
        <v>2.821869488536168E-4</v>
      </c>
    </row>
    <row r="20" spans="1:12" ht="15.6" x14ac:dyDescent="0.3">
      <c r="A20" s="2">
        <f t="shared" si="4"/>
        <v>12</v>
      </c>
      <c r="B20" s="2">
        <f t="shared" si="3"/>
        <v>2.505210838544172E-8</v>
      </c>
      <c r="C20" s="2">
        <f t="shared" si="2"/>
        <v>7.1476588957782253E-8</v>
      </c>
      <c r="D20" s="2">
        <f t="shared" si="2"/>
        <v>1.8613926233766261E-7</v>
      </c>
      <c r="E20" s="2">
        <f t="shared" si="2"/>
        <v>4.4897396435510957E-7</v>
      </c>
      <c r="F20" s="2">
        <f t="shared" si="2"/>
        <v>1.014501455443325E-6</v>
      </c>
      <c r="G20" s="2">
        <f t="shared" si="2"/>
        <v>2.1669462129667283E-6</v>
      </c>
      <c r="H20" s="2">
        <f t="shared" si="2"/>
        <v>4.4072135152156664E-6</v>
      </c>
      <c r="I20" s="2">
        <f t="shared" si="2"/>
        <v>8.5858326087344467E-6</v>
      </c>
      <c r="J20" s="2">
        <f t="shared" si="2"/>
        <v>1.6100591750649419E-5</v>
      </c>
      <c r="K20" s="2">
        <f t="shared" si="2"/>
        <v>2.9183265917663623E-5</v>
      </c>
      <c r="L20" s="2">
        <f t="shared" si="2"/>
        <v>5.1306717973384894E-5</v>
      </c>
    </row>
    <row r="21" spans="1:12" ht="15.6" x14ac:dyDescent="0.3">
      <c r="A21" s="2">
        <f t="shared" si="4"/>
        <v>13</v>
      </c>
      <c r="B21" s="2">
        <f t="shared" si="3"/>
        <v>2.08767569878681E-9</v>
      </c>
      <c r="C21" s="2">
        <f t="shared" si="2"/>
        <v>6.5520206544633728E-9</v>
      </c>
      <c r="D21" s="2">
        <f t="shared" si="2"/>
        <v>1.8613926233766267E-8</v>
      </c>
      <c r="E21" s="2">
        <f t="shared" si="2"/>
        <v>4.86388461384702E-8</v>
      </c>
      <c r="F21" s="2">
        <f t="shared" si="2"/>
        <v>1.1835850313505463E-7</v>
      </c>
      <c r="G21" s="2">
        <f t="shared" si="2"/>
        <v>2.7086827662084109E-7</v>
      </c>
      <c r="H21" s="2">
        <f t="shared" si="2"/>
        <v>5.8762846869542234E-7</v>
      </c>
      <c r="I21" s="2">
        <f t="shared" si="2"/>
        <v>1.2163262862373803E-6</v>
      </c>
      <c r="J21" s="2">
        <f t="shared" si="2"/>
        <v>2.4150887625974141E-6</v>
      </c>
      <c r="K21" s="2">
        <f t="shared" si="2"/>
        <v>4.6206837702967426E-6</v>
      </c>
      <c r="L21" s="2">
        <f t="shared" si="2"/>
        <v>8.5511196622308196E-6</v>
      </c>
    </row>
    <row r="22" spans="1:12" ht="15.6" x14ac:dyDescent="0.3">
      <c r="A22" s="2">
        <f t="shared" si="4"/>
        <v>14</v>
      </c>
      <c r="B22" s="2">
        <f t="shared" si="3"/>
        <v>1.6059043836821613E-10</v>
      </c>
      <c r="C22" s="2">
        <f t="shared" si="2"/>
        <v>5.5440174768536233E-10</v>
      </c>
      <c r="D22" s="2">
        <f t="shared" si="2"/>
        <v>1.7182085754245785E-9</v>
      </c>
      <c r="E22" s="2">
        <f t="shared" si="2"/>
        <v>4.863884613847021E-9</v>
      </c>
      <c r="F22" s="2">
        <f t="shared" si="2"/>
        <v>1.274630033762127E-8</v>
      </c>
      <c r="G22" s="2">
        <f t="shared" si="2"/>
        <v>3.1254031917789365E-8</v>
      </c>
      <c r="H22" s="2">
        <f t="shared" si="2"/>
        <v>7.2323503839436614E-8</v>
      </c>
      <c r="I22" s="2">
        <f t="shared" si="2"/>
        <v>1.5905805281565749E-7</v>
      </c>
      <c r="J22" s="2">
        <f t="shared" si="2"/>
        <v>3.3439690559041132E-7</v>
      </c>
      <c r="K22" s="2">
        <f t="shared" si="2"/>
        <v>6.7533070488952405E-7</v>
      </c>
      <c r="L22" s="2">
        <f t="shared" si="2"/>
        <v>1.3155568711124342E-6</v>
      </c>
    </row>
    <row r="23" spans="1:12" ht="16.2" thickBot="1" x14ac:dyDescent="0.35">
      <c r="A23" s="2">
        <f t="shared" si="4"/>
        <v>15</v>
      </c>
      <c r="B23" s="2">
        <f t="shared" si="3"/>
        <v>1.1470745597729725E-11</v>
      </c>
      <c r="C23" s="2">
        <f t="shared" si="2"/>
        <v>4.3560137318135619E-11</v>
      </c>
      <c r="D23" s="2">
        <f t="shared" si="2"/>
        <v>1.4727502075067817E-10</v>
      </c>
      <c r="E23" s="2">
        <f t="shared" si="2"/>
        <v>4.5164642842865204E-10</v>
      </c>
      <c r="F23" s="2">
        <f t="shared" si="2"/>
        <v>1.2746300337621273E-9</v>
      </c>
      <c r="G23" s="2">
        <f t="shared" si="2"/>
        <v>3.3486462769060045E-9</v>
      </c>
      <c r="H23" s="2">
        <f t="shared" si="2"/>
        <v>8.265543295935616E-9</v>
      </c>
      <c r="I23" s="2">
        <f t="shared" si="2"/>
        <v>1.9314192127615557E-8</v>
      </c>
      <c r="J23" s="2">
        <f t="shared" si="2"/>
        <v>4.2993887861624329E-8</v>
      </c>
      <c r="K23" s="2">
        <f t="shared" si="2"/>
        <v>9.1652024235006883E-8</v>
      </c>
      <c r="L23" s="2">
        <f t="shared" si="2"/>
        <v>1.8793669587320497E-7</v>
      </c>
    </row>
    <row r="24" spans="1:12" ht="16.2" thickBot="1" x14ac:dyDescent="0.35">
      <c r="A24" s="11" t="s">
        <v>2</v>
      </c>
      <c r="B24" s="10">
        <f t="shared" ref="B24:L24" si="5">SUM(B9:B23)</f>
        <v>2.7182818284582302</v>
      </c>
      <c r="C24" s="10">
        <f t="shared" si="5"/>
        <v>3.0041660239430046</v>
      </c>
      <c r="D24" s="10">
        <f t="shared" si="5"/>
        <v>3.3201169227238161</v>
      </c>
      <c r="E24" s="10">
        <f t="shared" si="5"/>
        <v>3.6692966675766594</v>
      </c>
      <c r="F24" s="10">
        <f t="shared" si="5"/>
        <v>4.0551999667143717</v>
      </c>
      <c r="G24" s="10">
        <f t="shared" si="5"/>
        <v>4.4816890699687884</v>
      </c>
      <c r="H24" s="10">
        <f t="shared" si="5"/>
        <v>4.9530324234161895</v>
      </c>
      <c r="I24" s="10">
        <f t="shared" si="5"/>
        <v>5.473947389280017</v>
      </c>
      <c r="J24" s="10">
        <f t="shared" si="5"/>
        <v>6.0496474586050235</v>
      </c>
      <c r="K24" s="10">
        <f t="shared" si="5"/>
        <v>6.6858944291192808</v>
      </c>
      <c r="L24" s="10">
        <f t="shared" si="5"/>
        <v>7.3890560703259176</v>
      </c>
    </row>
    <row r="25" spans="1:12" ht="16.2" thickBot="1" x14ac:dyDescent="0.35">
      <c r="A25" s="11" t="s">
        <v>3</v>
      </c>
      <c r="B25" s="10">
        <f>EXP(B$7)</f>
        <v>2.7182818284590451</v>
      </c>
      <c r="C25" s="10">
        <f t="shared" ref="C25:L25" si="6">EXP(C$7)</f>
        <v>3.0041660239464334</v>
      </c>
      <c r="D25" s="10">
        <f t="shared" si="6"/>
        <v>3.3201169227365481</v>
      </c>
      <c r="E25" s="10">
        <f t="shared" si="6"/>
        <v>3.6692966676192453</v>
      </c>
      <c r="F25" s="10">
        <f t="shared" si="6"/>
        <v>4.0551999668446763</v>
      </c>
      <c r="G25" s="10">
        <f t="shared" si="6"/>
        <v>4.4816890703380672</v>
      </c>
      <c r="H25" s="10">
        <f t="shared" si="6"/>
        <v>4.9530324243951176</v>
      </c>
      <c r="I25" s="10">
        <f t="shared" si="6"/>
        <v>5.4739473917272035</v>
      </c>
      <c r="J25" s="10">
        <f t="shared" si="6"/>
        <v>6.0496474644129501</v>
      </c>
      <c r="K25" s="10">
        <f t="shared" si="6"/>
        <v>6.6858944422792748</v>
      </c>
      <c r="L25" s="10">
        <f t="shared" si="6"/>
        <v>7.3890560989306566</v>
      </c>
    </row>
  </sheetData>
  <mergeCells count="16">
    <mergeCell ref="L7:L8"/>
    <mergeCell ref="A1:B1"/>
    <mergeCell ref="A2:J2"/>
    <mergeCell ref="B3:E4"/>
    <mergeCell ref="B5:C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</mergeCells>
  <conditionalFormatting sqref="B9:L25">
    <cfRule type="cellIs" dxfId="7" priority="2" operator="greaterThan">
      <formula>1.5</formula>
    </cfRule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M18"/>
  <sheetViews>
    <sheetView zoomScale="71" workbookViewId="0">
      <selection activeCell="C10" sqref="C10"/>
    </sheetView>
  </sheetViews>
  <sheetFormatPr defaultRowHeight="14.4" x14ac:dyDescent="0.3"/>
  <cols>
    <col min="7" max="7" width="13.33203125" bestFit="1" customWidth="1"/>
  </cols>
  <sheetData>
    <row r="1" spans="1:13" ht="15.6" x14ac:dyDescent="0.3">
      <c r="A1" s="21" t="s">
        <v>16</v>
      </c>
      <c r="B1" s="2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6" x14ac:dyDescent="0.3">
      <c r="A4" s="1"/>
      <c r="B4" s="20"/>
      <c r="C4" s="20"/>
      <c r="D4" s="20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1"/>
      <c r="B5" s="20"/>
      <c r="C5" s="20"/>
      <c r="D5" s="20"/>
      <c r="E5" s="1"/>
      <c r="F5" s="1"/>
      <c r="G5" s="1"/>
      <c r="H5" s="1"/>
      <c r="I5" s="1"/>
      <c r="J5" s="1"/>
      <c r="K5" s="1"/>
      <c r="L5" s="1"/>
      <c r="M5" s="1"/>
    </row>
    <row r="6" spans="1:13" ht="16.2" thickBot="1" x14ac:dyDescent="0.35">
      <c r="A6" s="1"/>
      <c r="B6" s="33"/>
      <c r="C6" s="3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3" t="s">
        <v>21</v>
      </c>
      <c r="B7" s="29">
        <v>1</v>
      </c>
      <c r="C7" s="27">
        <f t="shared" ref="C7:K7" si="0">B7+1</f>
        <v>2</v>
      </c>
      <c r="D7" s="29">
        <f t="shared" si="0"/>
        <v>3</v>
      </c>
      <c r="E7" s="25">
        <f t="shared" si="0"/>
        <v>4</v>
      </c>
      <c r="F7" s="29">
        <f t="shared" si="0"/>
        <v>5</v>
      </c>
      <c r="G7" s="27">
        <f t="shared" si="0"/>
        <v>6</v>
      </c>
      <c r="H7" s="31">
        <f t="shared" si="0"/>
        <v>7</v>
      </c>
      <c r="I7" s="31">
        <f t="shared" si="0"/>
        <v>8</v>
      </c>
      <c r="J7" s="31">
        <f t="shared" si="0"/>
        <v>9</v>
      </c>
      <c r="K7" s="31">
        <f t="shared" si="0"/>
        <v>10</v>
      </c>
      <c r="L7" s="31" t="s">
        <v>2</v>
      </c>
      <c r="M7" s="27" t="s">
        <v>3</v>
      </c>
    </row>
    <row r="8" spans="1:13" ht="15" thickBot="1" x14ac:dyDescent="0.35">
      <c r="A8" s="24"/>
      <c r="B8" s="30"/>
      <c r="C8" s="28"/>
      <c r="D8" s="30"/>
      <c r="E8" s="26"/>
      <c r="F8" s="30"/>
      <c r="G8" s="28"/>
      <c r="H8" s="32"/>
      <c r="I8" s="32"/>
      <c r="J8" s="32"/>
      <c r="K8" s="32"/>
      <c r="L8" s="32"/>
      <c r="M8" s="28"/>
    </row>
    <row r="9" spans="1:13" ht="15.6" x14ac:dyDescent="0.3">
      <c r="A9" s="2">
        <v>0.1</v>
      </c>
      <c r="B9" s="6">
        <f>(((3*$A9)^(2*B$7))/FACT(2*B$7))*(-1)^(B$7)</f>
        <v>-4.5000000000000012E-2</v>
      </c>
      <c r="C9" s="6">
        <f t="shared" ref="C9:K9" si="1">(((3*$A9)^(2*C$7))/FACT(2*C$7))*(-1)^(C$7)</f>
        <v>3.3750000000000018E-4</v>
      </c>
      <c r="D9" s="6">
        <f t="shared" si="1"/>
        <v>-1.0125000000000009E-6</v>
      </c>
      <c r="E9" s="6">
        <f t="shared" si="1"/>
        <v>1.6272321428571447E-9</v>
      </c>
      <c r="F9" s="6">
        <f t="shared" si="1"/>
        <v>-1.6272321428571449E-12</v>
      </c>
      <c r="G9" s="6">
        <f t="shared" si="1"/>
        <v>1.109476461038963E-15</v>
      </c>
      <c r="H9" s="6">
        <f t="shared" si="1"/>
        <v>-5.4864220600827846E-19</v>
      </c>
      <c r="I9" s="6">
        <f t="shared" si="1"/>
        <v>2.0574082725310447E-22</v>
      </c>
      <c r="J9" s="6">
        <f t="shared" si="1"/>
        <v>-6.0512008015618985E-26</v>
      </c>
      <c r="K9" s="6">
        <f t="shared" si="1"/>
        <v>1.4331791372120291E-29</v>
      </c>
      <c r="L9" s="8">
        <f>SUM(B9:K9)</f>
        <v>-4.4663510874393998E-2</v>
      </c>
      <c r="M9" s="6">
        <f>3*(COS($A9)^2-1)</f>
        <v>-2.9900133238137228E-2</v>
      </c>
    </row>
    <row r="10" spans="1:13" ht="15.6" x14ac:dyDescent="0.3">
      <c r="A10" s="2">
        <f>A9+0.1</f>
        <v>0.2</v>
      </c>
      <c r="B10" s="6">
        <f t="shared" ref="B10:K18" si="2">(((3*$A10)^(2*B$7))/FACT(2*B$7))*(-1)^(B$7)</f>
        <v>-0.18000000000000005</v>
      </c>
      <c r="C10" s="6">
        <f t="shared" si="2"/>
        <v>5.4000000000000029E-3</v>
      </c>
      <c r="D10" s="6">
        <f t="shared" si="2"/>
        <v>-6.4800000000000057E-5</v>
      </c>
      <c r="E10" s="6">
        <f t="shared" si="2"/>
        <v>4.1657142857142904E-7</v>
      </c>
      <c r="F10" s="6">
        <f t="shared" si="2"/>
        <v>-1.6662857142857164E-9</v>
      </c>
      <c r="G10" s="6">
        <f t="shared" si="2"/>
        <v>4.5444155844155925E-12</v>
      </c>
      <c r="H10" s="6">
        <f t="shared" si="2"/>
        <v>-8.9889539032396344E-15</v>
      </c>
      <c r="I10" s="6">
        <f t="shared" si="2"/>
        <v>1.3483430854859455E-17</v>
      </c>
      <c r="J10" s="6">
        <f t="shared" si="2"/>
        <v>-1.5862859829246423E-20</v>
      </c>
      <c r="K10" s="6">
        <f t="shared" si="2"/>
        <v>1.5027972469812406E-23</v>
      </c>
      <c r="L10" s="8">
        <f t="shared" ref="L10:L18" si="3">SUM(B10:K10)</f>
        <v>-0.17466438509032176</v>
      </c>
      <c r="M10" s="6">
        <f t="shared" ref="M10:M18" si="4">3*(COS($A10)^2-1)</f>
        <v>-0.11840850899567235</v>
      </c>
    </row>
    <row r="11" spans="1:13" ht="15.6" x14ac:dyDescent="0.3">
      <c r="A11" s="2">
        <f t="shared" ref="A11:A18" si="5">A10+0.1</f>
        <v>0.30000000000000004</v>
      </c>
      <c r="B11" s="6">
        <f t="shared" si="2"/>
        <v>-0.40500000000000014</v>
      </c>
      <c r="C11" s="6">
        <f t="shared" si="2"/>
        <v>2.7337500000000018E-2</v>
      </c>
      <c r="D11" s="6">
        <f t="shared" si="2"/>
        <v>-7.3811250000000079E-4</v>
      </c>
      <c r="E11" s="6">
        <f t="shared" si="2"/>
        <v>1.0676270089285729E-5</v>
      </c>
      <c r="F11" s="6">
        <f t="shared" si="2"/>
        <v>-9.6086430803571596E-8</v>
      </c>
      <c r="G11" s="6">
        <f t="shared" si="2"/>
        <v>5.8962127993100775E-10</v>
      </c>
      <c r="H11" s="6">
        <f t="shared" si="2"/>
        <v>-2.6241386634292116E-12</v>
      </c>
      <c r="I11" s="6">
        <f t="shared" si="2"/>
        <v>8.8564679890735898E-15</v>
      </c>
      <c r="J11" s="6">
        <f t="shared" si="2"/>
        <v>-2.3443591735783037E-17</v>
      </c>
      <c r="K11" s="6">
        <f t="shared" si="2"/>
        <v>4.9971866594695452E-20</v>
      </c>
      <c r="L11" s="8">
        <f t="shared" si="3"/>
        <v>-0.37839003172933561</v>
      </c>
      <c r="M11" s="6">
        <f t="shared" si="4"/>
        <v>-0.26199657763548267</v>
      </c>
    </row>
    <row r="12" spans="1:13" ht="15.6" x14ac:dyDescent="0.3">
      <c r="A12" s="2">
        <f t="shared" si="5"/>
        <v>0.4</v>
      </c>
      <c r="B12" s="6">
        <f t="shared" si="2"/>
        <v>-0.7200000000000002</v>
      </c>
      <c r="C12" s="6">
        <f t="shared" si="2"/>
        <v>8.6400000000000046E-2</v>
      </c>
      <c r="D12" s="6">
        <f t="shared" si="2"/>
        <v>-4.1472000000000037E-3</v>
      </c>
      <c r="E12" s="6">
        <f t="shared" si="2"/>
        <v>1.0664228571428583E-4</v>
      </c>
      <c r="F12" s="6">
        <f t="shared" si="2"/>
        <v>-1.7062765714285736E-6</v>
      </c>
      <c r="G12" s="6">
        <f t="shared" si="2"/>
        <v>1.8613926233766267E-8</v>
      </c>
      <c r="H12" s="6">
        <f t="shared" si="2"/>
        <v>-1.4727502075067817E-10</v>
      </c>
      <c r="I12" s="6">
        <f t="shared" si="2"/>
        <v>8.8365012450406922E-13</v>
      </c>
      <c r="J12" s="6">
        <f t="shared" si="2"/>
        <v>-4.1583535270779744E-15</v>
      </c>
      <c r="K12" s="6">
        <f t="shared" si="2"/>
        <v>1.5757971260506014E-17</v>
      </c>
      <c r="L12" s="8">
        <f t="shared" si="3"/>
        <v>-0.63764224552332649</v>
      </c>
      <c r="M12" s="6">
        <f t="shared" si="4"/>
        <v>-0.45493993597925175</v>
      </c>
    </row>
    <row r="13" spans="1:13" ht="15.6" x14ac:dyDescent="0.3">
      <c r="A13" s="2">
        <f t="shared" si="5"/>
        <v>0.5</v>
      </c>
      <c r="B13" s="6">
        <f t="shared" si="2"/>
        <v>-1.125</v>
      </c>
      <c r="C13" s="6">
        <f t="shared" si="2"/>
        <v>0.2109375</v>
      </c>
      <c r="D13" s="6">
        <f t="shared" si="2"/>
        <v>-1.5820312499999999E-2</v>
      </c>
      <c r="E13" s="6">
        <f t="shared" si="2"/>
        <v>6.3563755580357145E-4</v>
      </c>
      <c r="F13" s="6">
        <f t="shared" si="2"/>
        <v>-1.5890938895089285E-5</v>
      </c>
      <c r="G13" s="6">
        <f t="shared" si="2"/>
        <v>2.7086827662084009E-7</v>
      </c>
      <c r="H13" s="6">
        <f t="shared" si="2"/>
        <v>-3.34864627690599E-9</v>
      </c>
      <c r="I13" s="6">
        <f t="shared" si="2"/>
        <v>3.1393558845993659E-11</v>
      </c>
      <c r="J13" s="6">
        <f t="shared" si="2"/>
        <v>-2.3083499151465924E-13</v>
      </c>
      <c r="K13" s="6">
        <f t="shared" si="2"/>
        <v>1.3667861339683772E-15</v>
      </c>
      <c r="L13" s="8">
        <f t="shared" si="3"/>
        <v>-0.92926279833229719</v>
      </c>
      <c r="M13" s="6">
        <f t="shared" si="4"/>
        <v>-0.68954654119779035</v>
      </c>
    </row>
    <row r="14" spans="1:13" ht="15.6" x14ac:dyDescent="0.3">
      <c r="A14" s="2">
        <f t="shared" si="5"/>
        <v>0.6</v>
      </c>
      <c r="B14" s="6">
        <f t="shared" si="2"/>
        <v>-1.6199999999999997</v>
      </c>
      <c r="C14" s="6">
        <f t="shared" si="2"/>
        <v>0.43739999999999979</v>
      </c>
      <c r="D14" s="6">
        <f t="shared" si="2"/>
        <v>-4.7239199999999967E-2</v>
      </c>
      <c r="E14" s="6">
        <f t="shared" si="2"/>
        <v>2.7331251428571405E-3</v>
      </c>
      <c r="F14" s="6">
        <f t="shared" si="2"/>
        <v>-9.839250514285703E-5</v>
      </c>
      <c r="G14" s="6">
        <f t="shared" si="2"/>
        <v>2.4150887625973993E-6</v>
      </c>
      <c r="H14" s="6">
        <f t="shared" si="2"/>
        <v>-4.2993887861624018E-8</v>
      </c>
      <c r="I14" s="6">
        <f t="shared" si="2"/>
        <v>5.804174861319241E-10</v>
      </c>
      <c r="J14" s="6">
        <f t="shared" si="2"/>
        <v>-6.1455969119850771E-12</v>
      </c>
      <c r="K14" s="6">
        <f t="shared" si="2"/>
        <v>5.2399299986399069E-14</v>
      </c>
      <c r="L14" s="8">
        <f t="shared" si="3"/>
        <v>-1.2272020946930864</v>
      </c>
      <c r="M14" s="6">
        <f t="shared" si="4"/>
        <v>-0.95646336828498957</v>
      </c>
    </row>
    <row r="15" spans="1:13" ht="15.6" x14ac:dyDescent="0.3">
      <c r="A15" s="2">
        <f t="shared" si="5"/>
        <v>0.7</v>
      </c>
      <c r="B15" s="6">
        <f t="shared" si="2"/>
        <v>-2.2049999999999992</v>
      </c>
      <c r="C15" s="6">
        <f t="shared" si="2"/>
        <v>0.81033749999999938</v>
      </c>
      <c r="D15" s="6">
        <f t="shared" si="2"/>
        <v>-0.11911961249999987</v>
      </c>
      <c r="E15" s="6">
        <f t="shared" si="2"/>
        <v>9.3806694843749858E-3</v>
      </c>
      <c r="F15" s="6">
        <f t="shared" si="2"/>
        <v>-4.5965280473437415E-4</v>
      </c>
      <c r="G15" s="6">
        <f>(((3*$A15)^(2*G$7))/FACT(2*G$7))*(-1)^(G$7)</f>
        <v>1.5356582339989313E-5</v>
      </c>
      <c r="H15" s="6">
        <f t="shared" si="2"/>
        <v>-3.7210180285358711E-7</v>
      </c>
      <c r="I15" s="6">
        <f t="shared" si="2"/>
        <v>6.8373706274346603E-9</v>
      </c>
      <c r="J15" s="6">
        <f t="shared" si="2"/>
        <v>-9.8538576689499484E-11</v>
      </c>
      <c r="K15" s="6">
        <f t="shared" si="2"/>
        <v>1.1435661136860329E-12</v>
      </c>
      <c r="L15" s="8">
        <f t="shared" si="3"/>
        <v>-1.5048461045998465</v>
      </c>
      <c r="M15" s="6">
        <f t="shared" si="4"/>
        <v>-1.2450492856496382</v>
      </c>
    </row>
    <row r="16" spans="1:13" ht="15.6" x14ac:dyDescent="0.3">
      <c r="A16" s="2">
        <f t="shared" si="5"/>
        <v>0.79999999999999993</v>
      </c>
      <c r="B16" s="6">
        <f t="shared" si="2"/>
        <v>-2.88</v>
      </c>
      <c r="C16" s="6">
        <f t="shared" si="2"/>
        <v>1.3823999999999999</v>
      </c>
      <c r="D16" s="6">
        <f t="shared" si="2"/>
        <v>-0.26542079999999996</v>
      </c>
      <c r="E16" s="6">
        <f t="shared" si="2"/>
        <v>2.7300425142857139E-2</v>
      </c>
      <c r="F16" s="6">
        <f t="shared" si="2"/>
        <v>-1.747227209142857E-3</v>
      </c>
      <c r="G16" s="6">
        <f t="shared" si="2"/>
        <v>7.6242641853506481E-5</v>
      </c>
      <c r="H16" s="6">
        <f t="shared" si="2"/>
        <v>-2.412953939979106E-6</v>
      </c>
      <c r="I16" s="6">
        <f t="shared" si="2"/>
        <v>5.7910894559498535E-8</v>
      </c>
      <c r="J16" s="6">
        <f t="shared" si="2"/>
        <v>-1.0900874270023254E-9</v>
      </c>
      <c r="K16" s="6">
        <f t="shared" si="2"/>
        <v>1.6523430472456302E-11</v>
      </c>
      <c r="L16" s="8">
        <f t="shared" si="3"/>
        <v>-1.7373937155410415</v>
      </c>
      <c r="M16" s="6">
        <f t="shared" si="4"/>
        <v>-1.543799283451933</v>
      </c>
    </row>
    <row r="17" spans="1:13" ht="15.6" x14ac:dyDescent="0.3">
      <c r="A17" s="2">
        <f t="shared" si="5"/>
        <v>0.89999999999999991</v>
      </c>
      <c r="B17" s="6">
        <f t="shared" si="2"/>
        <v>-3.6449999999999991</v>
      </c>
      <c r="C17" s="6">
        <f t="shared" si="2"/>
        <v>2.2143374999999987</v>
      </c>
      <c r="D17" s="6">
        <f t="shared" si="2"/>
        <v>-0.5380840124999996</v>
      </c>
      <c r="E17" s="6">
        <f t="shared" si="2"/>
        <v>7.0047008055803495E-2</v>
      </c>
      <c r="F17" s="6">
        <f t="shared" si="2"/>
        <v>-5.6738076525200826E-3</v>
      </c>
      <c r="G17" s="6">
        <f t="shared" si="2"/>
        <v>3.1334892262781353E-4</v>
      </c>
      <c r="H17" s="6">
        <f t="shared" si="2"/>
        <v>-1.2551173878883296E-5</v>
      </c>
      <c r="I17" s="6">
        <f t="shared" si="2"/>
        <v>3.8124190657108001E-7</v>
      </c>
      <c r="J17" s="6">
        <f t="shared" si="2"/>
        <v>-9.0825277741933754E-9</v>
      </c>
      <c r="K17" s="6">
        <f t="shared" si="2"/>
        <v>1.7424112493123602E-10</v>
      </c>
      <c r="L17" s="8">
        <f t="shared" si="3"/>
        <v>-1.9040721420143478</v>
      </c>
      <c r="M17" s="6">
        <f t="shared" si="4"/>
        <v>-1.8408031420396302</v>
      </c>
    </row>
    <row r="18" spans="1:13" ht="15.6" x14ac:dyDescent="0.3">
      <c r="A18" s="17">
        <f t="shared" si="5"/>
        <v>0.99999999999999989</v>
      </c>
      <c r="B18" s="18">
        <f t="shared" si="2"/>
        <v>-4.4999999999999982</v>
      </c>
      <c r="C18" s="18">
        <f t="shared" si="2"/>
        <v>3.3749999999999978</v>
      </c>
      <c r="D18" s="18">
        <f t="shared" si="2"/>
        <v>-1.0124999999999988</v>
      </c>
      <c r="E18" s="18">
        <f t="shared" si="2"/>
        <v>0.16272321428571407</v>
      </c>
      <c r="F18" s="18">
        <f t="shared" si="2"/>
        <v>-1.62723214285714E-2</v>
      </c>
      <c r="G18" s="18">
        <f t="shared" si="2"/>
        <v>1.1094764610389586E-3</v>
      </c>
      <c r="H18" s="18">
        <f t="shared" si="2"/>
        <v>-5.4864220600827605E-5</v>
      </c>
      <c r="I18" s="18">
        <f t="shared" si="2"/>
        <v>2.0574082725310345E-6</v>
      </c>
      <c r="J18" s="18">
        <f t="shared" si="2"/>
        <v>-6.0512008015618634E-8</v>
      </c>
      <c r="K18" s="18">
        <f t="shared" si="2"/>
        <v>1.4331791372120201E-9</v>
      </c>
      <c r="L18" s="19">
        <f t="shared" si="3"/>
        <v>-1.9899924965729749</v>
      </c>
      <c r="M18" s="18">
        <f t="shared" si="4"/>
        <v>-2.1242202548207132</v>
      </c>
    </row>
  </sheetData>
  <mergeCells count="17">
    <mergeCell ref="L7:L8"/>
    <mergeCell ref="A1:B1"/>
    <mergeCell ref="A2:M2"/>
    <mergeCell ref="B4:D5"/>
    <mergeCell ref="B6:C6"/>
    <mergeCell ref="A7:A8"/>
    <mergeCell ref="B7:B8"/>
    <mergeCell ref="C7:C8"/>
    <mergeCell ref="D7:D8"/>
    <mergeCell ref="E7:E8"/>
    <mergeCell ref="F7:F8"/>
    <mergeCell ref="M7:M8"/>
    <mergeCell ref="G7:G8"/>
    <mergeCell ref="H7:H8"/>
    <mergeCell ref="I7:I8"/>
    <mergeCell ref="J7:J8"/>
    <mergeCell ref="K7:K8"/>
  </mergeCells>
  <conditionalFormatting sqref="B9:M18">
    <cfRule type="cellIs" dxfId="5" priority="2" operator="greaterThan">
      <formula>1.5</formula>
    </cfRule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M18"/>
  <sheetViews>
    <sheetView zoomScale="68" workbookViewId="0">
      <selection activeCell="D13" sqref="D13"/>
    </sheetView>
  </sheetViews>
  <sheetFormatPr defaultRowHeight="14.4" x14ac:dyDescent="0.3"/>
  <sheetData>
    <row r="1" spans="1:13" ht="15.6" x14ac:dyDescent="0.3">
      <c r="A1" s="21" t="s">
        <v>17</v>
      </c>
      <c r="B1" s="2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6" x14ac:dyDescent="0.3">
      <c r="A4" s="1"/>
      <c r="B4" s="20"/>
      <c r="C4" s="20"/>
      <c r="D4" s="20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1"/>
      <c r="B5" s="20"/>
      <c r="C5" s="20"/>
      <c r="D5" s="20"/>
      <c r="E5" s="1"/>
      <c r="F5" s="1"/>
      <c r="G5" s="1"/>
      <c r="H5" s="1"/>
      <c r="I5" s="1"/>
      <c r="J5" s="1"/>
      <c r="K5" s="1"/>
      <c r="L5" s="1"/>
      <c r="M5" s="1"/>
    </row>
    <row r="6" spans="1:13" ht="16.2" thickBot="1" x14ac:dyDescent="0.35">
      <c r="A6" s="1"/>
      <c r="B6" s="33"/>
      <c r="C6" s="3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3" t="s">
        <v>22</v>
      </c>
      <c r="B7" s="29">
        <v>1</v>
      </c>
      <c r="C7" s="27">
        <f t="shared" ref="C7:K7" si="0">B7+1</f>
        <v>2</v>
      </c>
      <c r="D7" s="29">
        <f t="shared" si="0"/>
        <v>3</v>
      </c>
      <c r="E7" s="25">
        <f t="shared" si="0"/>
        <v>4</v>
      </c>
      <c r="F7" s="29">
        <f t="shared" si="0"/>
        <v>5</v>
      </c>
      <c r="G7" s="27">
        <f t="shared" si="0"/>
        <v>6</v>
      </c>
      <c r="H7" s="31">
        <f t="shared" si="0"/>
        <v>7</v>
      </c>
      <c r="I7" s="31">
        <f t="shared" si="0"/>
        <v>8</v>
      </c>
      <c r="J7" s="31">
        <f t="shared" si="0"/>
        <v>9</v>
      </c>
      <c r="K7" s="31">
        <f t="shared" si="0"/>
        <v>10</v>
      </c>
      <c r="L7" s="31" t="s">
        <v>2</v>
      </c>
      <c r="M7" s="27" t="s">
        <v>3</v>
      </c>
    </row>
    <row r="8" spans="1:13" ht="15" thickBot="1" x14ac:dyDescent="0.35">
      <c r="A8" s="24"/>
      <c r="B8" s="30"/>
      <c r="C8" s="28"/>
      <c r="D8" s="30"/>
      <c r="E8" s="26"/>
      <c r="F8" s="30"/>
      <c r="G8" s="28"/>
      <c r="H8" s="32"/>
      <c r="I8" s="32"/>
      <c r="J8" s="32"/>
      <c r="K8" s="32"/>
      <c r="L8" s="32"/>
      <c r="M8" s="28"/>
    </row>
    <row r="9" spans="1:13" ht="15.6" x14ac:dyDescent="0.3">
      <c r="A9" s="2">
        <v>0.1</v>
      </c>
      <c r="B9" s="6">
        <f>((-1)^(B$7-1))*($A9^(2*(B$7-1)))/FACT(2*(B$7-1))</f>
        <v>1</v>
      </c>
      <c r="C9" s="6">
        <f t="shared" ref="C9:K18" si="1">((-1)^(C$7-1))*($A9^(2*(C$7-1)))/FACT(2*(C$7-1))</f>
        <v>-5.000000000000001E-3</v>
      </c>
      <c r="D9" s="6">
        <f t="shared" si="1"/>
        <v>4.1666666666666686E-6</v>
      </c>
      <c r="E9" s="6">
        <f t="shared" si="1"/>
        <v>-1.3888888888888896E-9</v>
      </c>
      <c r="F9" s="6">
        <f t="shared" si="1"/>
        <v>2.4801587301587324E-13</v>
      </c>
      <c r="G9" s="6">
        <f t="shared" si="1"/>
        <v>-2.755731922398592E-17</v>
      </c>
      <c r="H9" s="6">
        <f t="shared" si="1"/>
        <v>2.0876756987868129E-21</v>
      </c>
      <c r="I9" s="6">
        <f t="shared" si="1"/>
        <v>-1.147074559772974E-25</v>
      </c>
      <c r="J9" s="6">
        <f t="shared" si="1"/>
        <v>4.7794773323873932E-30</v>
      </c>
      <c r="K9" s="6">
        <f t="shared" si="1"/>
        <v>-1.5619206968586254E-34</v>
      </c>
      <c r="L9" s="8">
        <f>SUM(B9:K9)</f>
        <v>0.99500416527802582</v>
      </c>
      <c r="M9" s="6">
        <f>COS($A9)</f>
        <v>0.99500416527802582</v>
      </c>
    </row>
    <row r="10" spans="1:13" ht="15.6" x14ac:dyDescent="0.3">
      <c r="A10" s="2">
        <f>A9+0.1</f>
        <v>0.2</v>
      </c>
      <c r="B10" s="6">
        <f t="shared" ref="B10:B18" si="2">((-1)^(B$7-1))*($A10^(2*(B$7-1)))/FACT(2*(B$7-1))</f>
        <v>1</v>
      </c>
      <c r="C10" s="6">
        <f t="shared" si="1"/>
        <v>-2.0000000000000004E-2</v>
      </c>
      <c r="D10" s="6">
        <f t="shared" si="1"/>
        <v>6.6666666666666697E-5</v>
      </c>
      <c r="E10" s="6">
        <f t="shared" si="1"/>
        <v>-8.8888888888888935E-8</v>
      </c>
      <c r="F10" s="6">
        <f t="shared" si="1"/>
        <v>6.3492063492063549E-11</v>
      </c>
      <c r="G10" s="6">
        <f t="shared" si="1"/>
        <v>-2.8218694885361582E-14</v>
      </c>
      <c r="H10" s="6">
        <f t="shared" si="1"/>
        <v>8.5511196622307855E-18</v>
      </c>
      <c r="I10" s="6">
        <f t="shared" si="1"/>
        <v>-1.8793669587320406E-21</v>
      </c>
      <c r="J10" s="6">
        <f t="shared" si="1"/>
        <v>3.132278264553402E-25</v>
      </c>
      <c r="K10" s="6">
        <f t="shared" si="1"/>
        <v>-4.094481391573075E-29</v>
      </c>
      <c r="L10" s="8">
        <f t="shared" ref="L10:L18" si="3">SUM(B10:K10)</f>
        <v>0.98006657784124163</v>
      </c>
      <c r="M10" s="6">
        <f t="shared" ref="M10:M18" si="4">COS($A10)</f>
        <v>0.98006657784124163</v>
      </c>
    </row>
    <row r="11" spans="1:13" ht="15.6" x14ac:dyDescent="0.3">
      <c r="A11" s="2">
        <f t="shared" ref="A11:A18" si="5">A10+0.1</f>
        <v>0.30000000000000004</v>
      </c>
      <c r="B11" s="6">
        <f t="shared" si="2"/>
        <v>1</v>
      </c>
      <c r="C11" s="6">
        <f t="shared" si="1"/>
        <v>-4.5000000000000012E-2</v>
      </c>
      <c r="D11" s="6">
        <f t="shared" si="1"/>
        <v>3.3750000000000018E-4</v>
      </c>
      <c r="E11" s="6">
        <f t="shared" si="1"/>
        <v>-1.0125000000000009E-6</v>
      </c>
      <c r="F11" s="6">
        <f t="shared" si="1"/>
        <v>1.6272321428571447E-9</v>
      </c>
      <c r="G11" s="6">
        <f t="shared" si="1"/>
        <v>-1.6272321428571449E-12</v>
      </c>
      <c r="H11" s="6">
        <f t="shared" si="1"/>
        <v>1.109476461038963E-15</v>
      </c>
      <c r="I11" s="6">
        <f t="shared" si="1"/>
        <v>-5.4864220600827846E-19</v>
      </c>
      <c r="J11" s="6">
        <f t="shared" si="1"/>
        <v>2.0574082725310447E-22</v>
      </c>
      <c r="K11" s="6">
        <f t="shared" si="1"/>
        <v>-6.0512008015618985E-26</v>
      </c>
      <c r="L11" s="8">
        <f t="shared" si="3"/>
        <v>0.95533648912560598</v>
      </c>
      <c r="M11" s="6">
        <f t="shared" si="4"/>
        <v>0.95533648912560598</v>
      </c>
    </row>
    <row r="12" spans="1:13" ht="15.6" x14ac:dyDescent="0.3">
      <c r="A12" s="2">
        <f t="shared" si="5"/>
        <v>0.4</v>
      </c>
      <c r="B12" s="6">
        <f t="shared" si="2"/>
        <v>1</v>
      </c>
      <c r="C12" s="6">
        <f t="shared" si="1"/>
        <v>-8.0000000000000016E-2</v>
      </c>
      <c r="D12" s="6">
        <f t="shared" si="1"/>
        <v>1.0666666666666672E-3</v>
      </c>
      <c r="E12" s="6">
        <f t="shared" si="1"/>
        <v>-5.6888888888888918E-6</v>
      </c>
      <c r="F12" s="6">
        <f t="shared" si="1"/>
        <v>1.6253968253968268E-8</v>
      </c>
      <c r="G12" s="6">
        <f t="shared" si="1"/>
        <v>-2.889594356261026E-11</v>
      </c>
      <c r="H12" s="6">
        <f t="shared" si="1"/>
        <v>3.5025386136497298E-14</v>
      </c>
      <c r="I12" s="6">
        <f t="shared" si="1"/>
        <v>-3.0791548251865753E-17</v>
      </c>
      <c r="J12" s="6">
        <f t="shared" si="1"/>
        <v>2.0527698834577175E-20</v>
      </c>
      <c r="K12" s="6">
        <f t="shared" si="1"/>
        <v>-1.0733437299125322E-23</v>
      </c>
      <c r="L12" s="8">
        <f t="shared" si="3"/>
        <v>0.92106099400288499</v>
      </c>
      <c r="M12" s="6">
        <f t="shared" si="4"/>
        <v>0.9210609940028851</v>
      </c>
    </row>
    <row r="13" spans="1:13" ht="15.6" x14ac:dyDescent="0.3">
      <c r="A13" s="2">
        <f t="shared" si="5"/>
        <v>0.5</v>
      </c>
      <c r="B13" s="6">
        <f t="shared" si="2"/>
        <v>1</v>
      </c>
      <c r="C13" s="6">
        <f t="shared" si="1"/>
        <v>-0.125</v>
      </c>
      <c r="D13" s="6">
        <f t="shared" si="1"/>
        <v>2.6041666666666665E-3</v>
      </c>
      <c r="E13" s="6">
        <f t="shared" si="1"/>
        <v>-2.170138888888889E-5</v>
      </c>
      <c r="F13" s="6">
        <f t="shared" si="1"/>
        <v>9.6881200396825397E-8</v>
      </c>
      <c r="G13" s="6">
        <f t="shared" si="1"/>
        <v>-2.6911444554673719E-10</v>
      </c>
      <c r="H13" s="6">
        <f t="shared" si="1"/>
        <v>5.0968644989912354E-13</v>
      </c>
      <c r="I13" s="6">
        <f t="shared" si="1"/>
        <v>-7.0011874986143338E-16</v>
      </c>
      <c r="J13" s="6">
        <f t="shared" si="1"/>
        <v>7.2929036443899311E-19</v>
      </c>
      <c r="K13" s="6">
        <f t="shared" si="1"/>
        <v>-5.9582546114296819E-22</v>
      </c>
      <c r="L13" s="8">
        <f t="shared" si="3"/>
        <v>0.87758256189037276</v>
      </c>
      <c r="M13" s="6">
        <f t="shared" si="4"/>
        <v>0.87758256189037276</v>
      </c>
    </row>
    <row r="14" spans="1:13" ht="15.6" x14ac:dyDescent="0.3">
      <c r="A14" s="2">
        <f t="shared" si="5"/>
        <v>0.6</v>
      </c>
      <c r="B14" s="6">
        <f t="shared" si="2"/>
        <v>1</v>
      </c>
      <c r="C14" s="6">
        <f t="shared" si="1"/>
        <v>-0.18</v>
      </c>
      <c r="D14" s="6">
        <f t="shared" si="1"/>
        <v>5.3999999999999994E-3</v>
      </c>
      <c r="E14" s="6">
        <f t="shared" si="1"/>
        <v>-6.4799999999999989E-5</v>
      </c>
      <c r="F14" s="6">
        <f t="shared" si="1"/>
        <v>4.1657142857142851E-7</v>
      </c>
      <c r="G14" s="6">
        <f t="shared" si="1"/>
        <v>-1.6662857142857141E-9</v>
      </c>
      <c r="H14" s="6">
        <f t="shared" si="1"/>
        <v>4.5444155844155837E-12</v>
      </c>
      <c r="I14" s="6">
        <f t="shared" si="1"/>
        <v>-8.9889539032396154E-15</v>
      </c>
      <c r="J14" s="6">
        <f t="shared" si="1"/>
        <v>1.3483430854859421E-17</v>
      </c>
      <c r="K14" s="6">
        <f t="shared" si="1"/>
        <v>-1.5862859829246378E-20</v>
      </c>
      <c r="L14" s="8">
        <f t="shared" si="3"/>
        <v>0.82533561490967833</v>
      </c>
      <c r="M14" s="6">
        <f t="shared" si="4"/>
        <v>0.82533561490967833</v>
      </c>
    </row>
    <row r="15" spans="1:13" ht="15.6" x14ac:dyDescent="0.3">
      <c r="A15" s="2">
        <f t="shared" si="5"/>
        <v>0.7</v>
      </c>
      <c r="B15" s="6">
        <f t="shared" si="2"/>
        <v>1</v>
      </c>
      <c r="C15" s="6">
        <f t="shared" si="1"/>
        <v>-0.24499999999999997</v>
      </c>
      <c r="D15" s="6">
        <f t="shared" si="1"/>
        <v>1.0004166666666663E-2</v>
      </c>
      <c r="E15" s="6">
        <f t="shared" si="1"/>
        <v>-1.6340138888888881E-4</v>
      </c>
      <c r="F15" s="6">
        <f t="shared" si="1"/>
        <v>1.429762152777777E-6</v>
      </c>
      <c r="G15" s="6">
        <f t="shared" si="1"/>
        <v>-7.7842606095678963E-9</v>
      </c>
      <c r="H15" s="6">
        <f t="shared" si="1"/>
        <v>2.8896118929456574E-11</v>
      </c>
      <c r="I15" s="6">
        <f t="shared" si="1"/>
        <v>-7.7797243271613851E-14</v>
      </c>
      <c r="J15" s="6">
        <f t="shared" si="1"/>
        <v>1.5883603834621159E-16</v>
      </c>
      <c r="K15" s="6">
        <f t="shared" si="1"/>
        <v>-2.5434529016223418E-19</v>
      </c>
      <c r="L15" s="8">
        <f t="shared" si="3"/>
        <v>0.76484218728448838</v>
      </c>
      <c r="M15" s="6">
        <f t="shared" si="4"/>
        <v>0.7648421872844885</v>
      </c>
    </row>
    <row r="16" spans="1:13" ht="15.6" x14ac:dyDescent="0.3">
      <c r="A16" s="2">
        <f t="shared" si="5"/>
        <v>0.79999999999999993</v>
      </c>
      <c r="B16" s="6">
        <f t="shared" si="2"/>
        <v>1</v>
      </c>
      <c r="C16" s="6">
        <f t="shared" si="1"/>
        <v>-0.31999999999999995</v>
      </c>
      <c r="D16" s="6">
        <f t="shared" si="1"/>
        <v>1.7066666666666661E-2</v>
      </c>
      <c r="E16" s="6">
        <f t="shared" si="1"/>
        <v>-3.640888888888887E-4</v>
      </c>
      <c r="F16" s="6">
        <f t="shared" si="1"/>
        <v>4.1610158730158699E-6</v>
      </c>
      <c r="G16" s="6">
        <f t="shared" si="1"/>
        <v>-2.9589446208112853E-8</v>
      </c>
      <c r="H16" s="6">
        <f t="shared" si="1"/>
        <v>1.4346398161509257E-10</v>
      </c>
      <c r="I16" s="6">
        <f t="shared" si="1"/>
        <v>-5.0448872655856728E-13</v>
      </c>
      <c r="J16" s="6">
        <f t="shared" si="1"/>
        <v>1.3453032708228458E-15</v>
      </c>
      <c r="K16" s="6">
        <f t="shared" si="1"/>
        <v>-2.8137061873418991E-18</v>
      </c>
      <c r="L16" s="8">
        <f t="shared" si="3"/>
        <v>0.6967067093471655</v>
      </c>
      <c r="M16" s="6">
        <f t="shared" si="4"/>
        <v>0.6967067093471655</v>
      </c>
    </row>
    <row r="17" spans="1:13" ht="15.6" x14ac:dyDescent="0.3">
      <c r="A17" s="2">
        <f t="shared" si="5"/>
        <v>0.89999999999999991</v>
      </c>
      <c r="B17" s="6">
        <f t="shared" si="2"/>
        <v>1</v>
      </c>
      <c r="C17" s="6">
        <f t="shared" si="1"/>
        <v>-0.40499999999999992</v>
      </c>
      <c r="D17" s="6">
        <f t="shared" si="1"/>
        <v>2.7337499999999987E-2</v>
      </c>
      <c r="E17" s="6">
        <f t="shared" si="1"/>
        <v>-7.3811249999999949E-4</v>
      </c>
      <c r="F17" s="6">
        <f t="shared" si="1"/>
        <v>1.0676270089285705E-5</v>
      </c>
      <c r="G17" s="6">
        <f t="shared" si="1"/>
        <v>-9.6086430803571318E-8</v>
      </c>
      <c r="H17" s="6">
        <f t="shared" si="1"/>
        <v>5.8962127993100568E-10</v>
      </c>
      <c r="I17" s="6">
        <f t="shared" si="1"/>
        <v>-2.6241386634292003E-12</v>
      </c>
      <c r="J17" s="6">
        <f t="shared" si="1"/>
        <v>8.8564679890735488E-15</v>
      </c>
      <c r="K17" s="6">
        <f t="shared" si="1"/>
        <v>-2.3443591735782917E-17</v>
      </c>
      <c r="L17" s="8">
        <f t="shared" si="3"/>
        <v>0.62160996827066461</v>
      </c>
      <c r="M17" s="6">
        <f t="shared" si="4"/>
        <v>0.6216099682706645</v>
      </c>
    </row>
    <row r="18" spans="1:13" ht="16.2" thickBot="1" x14ac:dyDescent="0.35">
      <c r="A18" s="3">
        <f t="shared" si="5"/>
        <v>0.99999999999999989</v>
      </c>
      <c r="B18" s="3">
        <f t="shared" si="2"/>
        <v>1</v>
      </c>
      <c r="C18" s="7">
        <f t="shared" si="1"/>
        <v>-0.49999999999999989</v>
      </c>
      <c r="D18" s="7">
        <f t="shared" si="1"/>
        <v>4.166666666666665E-2</v>
      </c>
      <c r="E18" s="7">
        <f t="shared" si="1"/>
        <v>-1.3888888888888879E-3</v>
      </c>
      <c r="F18" s="7">
        <f t="shared" si="1"/>
        <v>2.4801587301587281E-5</v>
      </c>
      <c r="G18" s="7">
        <f t="shared" si="1"/>
        <v>-2.7557319223985862E-7</v>
      </c>
      <c r="H18" s="7">
        <f t="shared" si="1"/>
        <v>2.0876756987868071E-9</v>
      </c>
      <c r="I18" s="7">
        <f t="shared" si="1"/>
        <v>-1.1470745597729707E-11</v>
      </c>
      <c r="J18" s="7">
        <f t="shared" si="1"/>
        <v>4.779477332387377E-14</v>
      </c>
      <c r="K18" s="7">
        <f t="shared" si="1"/>
        <v>-1.5619206968586196E-16</v>
      </c>
      <c r="L18" s="9">
        <f t="shared" si="3"/>
        <v>0.54030230586813977</v>
      </c>
      <c r="M18" s="7">
        <f t="shared" si="4"/>
        <v>0.54030230586813977</v>
      </c>
    </row>
  </sheetData>
  <mergeCells count="17">
    <mergeCell ref="L7:L8"/>
    <mergeCell ref="A1:B1"/>
    <mergeCell ref="A2:M2"/>
    <mergeCell ref="B4:D5"/>
    <mergeCell ref="B6:C6"/>
    <mergeCell ref="A7:A8"/>
    <mergeCell ref="B7:B8"/>
    <mergeCell ref="C7:C8"/>
    <mergeCell ref="D7:D8"/>
    <mergeCell ref="E7:E8"/>
    <mergeCell ref="F7:F8"/>
    <mergeCell ref="M7:M8"/>
    <mergeCell ref="G7:G8"/>
    <mergeCell ref="H7:H8"/>
    <mergeCell ref="I7:I8"/>
    <mergeCell ref="J7:J8"/>
    <mergeCell ref="K7:K8"/>
  </mergeCells>
  <conditionalFormatting sqref="B9:M18">
    <cfRule type="cellIs" dxfId="3" priority="2" operator="greaterThan">
      <formula>1.5</formula>
    </cfRule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K30"/>
  <sheetViews>
    <sheetView zoomScale="74" workbookViewId="0">
      <selection activeCell="E7" sqref="E7:E8"/>
    </sheetView>
  </sheetViews>
  <sheetFormatPr defaultRowHeight="14.4" x14ac:dyDescent="0.3"/>
  <sheetData>
    <row r="1" spans="1:11" ht="15.6" x14ac:dyDescent="0.3">
      <c r="A1" s="21" t="s">
        <v>18</v>
      </c>
      <c r="B1" s="21"/>
      <c r="C1" s="1"/>
      <c r="D1" s="1"/>
      <c r="E1" s="1"/>
      <c r="F1" s="1"/>
      <c r="G1" s="1"/>
      <c r="H1" s="1"/>
      <c r="I1" s="1"/>
      <c r="J1" s="1"/>
    </row>
    <row r="2" spans="1:11" ht="15.6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1" ht="15.6" x14ac:dyDescent="0.3">
      <c r="A3" s="1"/>
      <c r="B3" s="20"/>
      <c r="C3" s="20"/>
      <c r="D3" s="20"/>
      <c r="E3" s="12"/>
      <c r="F3" s="1"/>
      <c r="G3" s="1"/>
      <c r="H3" s="1"/>
      <c r="I3" s="1"/>
      <c r="J3" s="1"/>
    </row>
    <row r="4" spans="1:11" ht="15.6" x14ac:dyDescent="0.3">
      <c r="A4" s="1"/>
      <c r="B4" s="20"/>
      <c r="C4" s="20"/>
      <c r="D4" s="20"/>
      <c r="E4" s="12"/>
      <c r="F4" s="1"/>
      <c r="G4" s="1"/>
      <c r="H4" s="1"/>
      <c r="I4" s="1"/>
      <c r="J4" s="1"/>
    </row>
    <row r="5" spans="1:11" ht="15.6" x14ac:dyDescent="0.3">
      <c r="A5" s="1"/>
      <c r="B5" s="20"/>
      <c r="C5" s="20"/>
      <c r="D5" s="20"/>
      <c r="E5" s="1"/>
      <c r="F5" s="1"/>
      <c r="G5" s="1"/>
      <c r="H5" s="1"/>
      <c r="I5" s="1"/>
      <c r="J5" s="1"/>
    </row>
    <row r="6" spans="1:11" ht="16.2" thickBot="1" x14ac:dyDescent="0.35">
      <c r="A6" s="1"/>
      <c r="B6" s="13"/>
      <c r="C6" s="13"/>
      <c r="D6" s="13"/>
      <c r="E6" s="1"/>
      <c r="F6" s="1"/>
      <c r="G6" s="1"/>
      <c r="H6" s="1"/>
      <c r="I6" s="1"/>
      <c r="J6" s="1"/>
    </row>
    <row r="7" spans="1:11" x14ac:dyDescent="0.3">
      <c r="A7" s="23" t="s">
        <v>20</v>
      </c>
      <c r="B7" s="25">
        <v>0.1</v>
      </c>
      <c r="C7" s="27">
        <f>B7+0.1</f>
        <v>0.2</v>
      </c>
      <c r="D7" s="27">
        <f t="shared" ref="D7:J7" si="0">C7+0.1</f>
        <v>0.30000000000000004</v>
      </c>
      <c r="E7" s="27">
        <f t="shared" si="0"/>
        <v>0.4</v>
      </c>
      <c r="F7" s="27">
        <f t="shared" si="0"/>
        <v>0.5</v>
      </c>
      <c r="G7" s="27">
        <f t="shared" si="0"/>
        <v>0.6</v>
      </c>
      <c r="H7" s="27">
        <f t="shared" si="0"/>
        <v>0.7</v>
      </c>
      <c r="I7" s="27">
        <f t="shared" si="0"/>
        <v>0.79999999999999993</v>
      </c>
      <c r="J7" s="27">
        <f t="shared" si="0"/>
        <v>0.89999999999999991</v>
      </c>
      <c r="K7" s="27">
        <f>J7+0.1</f>
        <v>0.99999999999999989</v>
      </c>
    </row>
    <row r="8" spans="1:11" ht="15" thickBot="1" x14ac:dyDescent="0.35">
      <c r="A8" s="24"/>
      <c r="B8" s="26"/>
      <c r="C8" s="28"/>
      <c r="D8" s="28"/>
      <c r="E8" s="28"/>
      <c r="F8" s="28"/>
      <c r="G8" s="28"/>
      <c r="H8" s="28"/>
      <c r="I8" s="28"/>
      <c r="J8" s="28"/>
      <c r="K8" s="28"/>
    </row>
    <row r="9" spans="1:11" ht="15.6" x14ac:dyDescent="0.3">
      <c r="A9" s="2">
        <v>1</v>
      </c>
      <c r="B9" s="2">
        <f>(COS(B$7*($A9-1))/FACT($A9-1))</f>
        <v>1</v>
      </c>
      <c r="C9" s="2">
        <f t="shared" ref="C9:K24" si="1">(COS(C$7*($A9-1))/FACT($A9-1))</f>
        <v>1</v>
      </c>
      <c r="D9" s="2">
        <f t="shared" si="1"/>
        <v>1</v>
      </c>
      <c r="E9" s="2">
        <f t="shared" si="1"/>
        <v>1</v>
      </c>
      <c r="F9" s="2">
        <f t="shared" si="1"/>
        <v>1</v>
      </c>
      <c r="G9" s="2">
        <f t="shared" si="1"/>
        <v>1</v>
      </c>
      <c r="H9" s="2">
        <f t="shared" si="1"/>
        <v>1</v>
      </c>
      <c r="I9" s="2">
        <f t="shared" si="1"/>
        <v>1</v>
      </c>
      <c r="J9" s="2">
        <f t="shared" si="1"/>
        <v>1</v>
      </c>
      <c r="K9" s="2">
        <f t="shared" si="1"/>
        <v>1</v>
      </c>
    </row>
    <row r="10" spans="1:11" ht="15.6" x14ac:dyDescent="0.3">
      <c r="A10" s="2">
        <f>A9+1</f>
        <v>2</v>
      </c>
      <c r="B10" s="2">
        <f t="shared" ref="B10:K25" si="2">(COS(B$7*($A10-1))/FACT($A10-1))</f>
        <v>0.99500416527802582</v>
      </c>
      <c r="C10" s="2">
        <f t="shared" si="1"/>
        <v>0.98006657784124163</v>
      </c>
      <c r="D10" s="2">
        <f t="shared" si="1"/>
        <v>0.95533648912560598</v>
      </c>
      <c r="E10" s="2">
        <f t="shared" si="1"/>
        <v>0.9210609940028851</v>
      </c>
      <c r="F10" s="2">
        <f t="shared" si="1"/>
        <v>0.87758256189037276</v>
      </c>
      <c r="G10" s="2">
        <f t="shared" si="1"/>
        <v>0.82533561490967833</v>
      </c>
      <c r="H10" s="2">
        <f t="shared" si="1"/>
        <v>0.7648421872844885</v>
      </c>
      <c r="I10" s="2">
        <f t="shared" si="1"/>
        <v>0.6967067093471655</v>
      </c>
      <c r="J10" s="2">
        <f t="shared" si="1"/>
        <v>0.6216099682706645</v>
      </c>
      <c r="K10" s="2">
        <f t="shared" si="1"/>
        <v>0.54030230586813977</v>
      </c>
    </row>
    <row r="11" spans="1:11" ht="15.6" x14ac:dyDescent="0.3">
      <c r="A11" s="2">
        <f t="shared" ref="A11:A28" si="3">A10+1</f>
        <v>3</v>
      </c>
      <c r="B11" s="2">
        <f t="shared" si="2"/>
        <v>0.49003328892062081</v>
      </c>
      <c r="C11" s="2">
        <f t="shared" si="1"/>
        <v>0.46053049700144255</v>
      </c>
      <c r="D11" s="2">
        <f t="shared" si="1"/>
        <v>0.41266780745483911</v>
      </c>
      <c r="E11" s="2">
        <f t="shared" si="1"/>
        <v>0.34835335467358269</v>
      </c>
      <c r="F11" s="2">
        <f t="shared" si="1"/>
        <v>0.27015115293406988</v>
      </c>
      <c r="G11" s="2">
        <f t="shared" si="1"/>
        <v>0.18117887723833681</v>
      </c>
      <c r="H11" s="2">
        <f t="shared" si="1"/>
        <v>8.4983571450120518E-2</v>
      </c>
      <c r="I11" s="2">
        <f t="shared" si="1"/>
        <v>-1.4599761150644297E-2</v>
      </c>
      <c r="J11" s="2">
        <f t="shared" si="1"/>
        <v>-0.11360104734654344</v>
      </c>
      <c r="K11" s="2">
        <f t="shared" si="1"/>
        <v>-0.20807341827357109</v>
      </c>
    </row>
    <row r="12" spans="1:11" ht="15.6" x14ac:dyDescent="0.3">
      <c r="A12" s="2">
        <f t="shared" si="3"/>
        <v>4</v>
      </c>
      <c r="B12" s="2">
        <f t="shared" si="2"/>
        <v>0.15922274818760099</v>
      </c>
      <c r="C12" s="2">
        <f t="shared" si="1"/>
        <v>0.13755593581827971</v>
      </c>
      <c r="D12" s="2">
        <f t="shared" si="1"/>
        <v>0.10360166137844407</v>
      </c>
      <c r="E12" s="2">
        <f t="shared" si="1"/>
        <v>6.0392959079445564E-2</v>
      </c>
      <c r="F12" s="2">
        <f t="shared" si="1"/>
        <v>1.1789533611283818E-2</v>
      </c>
      <c r="G12" s="2">
        <f t="shared" si="1"/>
        <v>-3.786701578218115E-2</v>
      </c>
      <c r="H12" s="2">
        <f t="shared" si="1"/>
        <v>-8.4141017433309526E-2</v>
      </c>
      <c r="I12" s="2">
        <f t="shared" si="1"/>
        <v>-0.12289895259020757</v>
      </c>
      <c r="J12" s="2">
        <f t="shared" si="1"/>
        <v>-0.15067869033617684</v>
      </c>
      <c r="K12" s="2">
        <f t="shared" si="1"/>
        <v>-0.16499874943340756</v>
      </c>
    </row>
    <row r="13" spans="1:11" ht="15.6" x14ac:dyDescent="0.3">
      <c r="A13" s="2">
        <f t="shared" si="3"/>
        <v>5</v>
      </c>
      <c r="B13" s="2">
        <f t="shared" si="2"/>
        <v>3.8377541416786877E-2</v>
      </c>
      <c r="C13" s="2">
        <f t="shared" si="1"/>
        <v>2.9029446222798558E-2</v>
      </c>
      <c r="D13" s="2">
        <f t="shared" si="1"/>
        <v>1.5098239769861391E-2</v>
      </c>
      <c r="E13" s="2">
        <f t="shared" si="1"/>
        <v>-1.2166467625537006E-3</v>
      </c>
      <c r="F13" s="2">
        <f t="shared" si="1"/>
        <v>-1.7339451522797599E-2</v>
      </c>
      <c r="G13" s="2">
        <f t="shared" si="1"/>
        <v>-3.0724738147551892E-2</v>
      </c>
      <c r="H13" s="2">
        <f t="shared" si="1"/>
        <v>-3.9259264194527417E-2</v>
      </c>
      <c r="I13" s="2">
        <f t="shared" si="1"/>
        <v>-4.1595615658114711E-2</v>
      </c>
      <c r="J13" s="2">
        <f t="shared" si="1"/>
        <v>-3.7364934013922803E-2</v>
      </c>
      <c r="K13" s="2">
        <f t="shared" si="1"/>
        <v>-2.7235150869317177E-2</v>
      </c>
    </row>
    <row r="14" spans="1:11" ht="15.6" x14ac:dyDescent="0.3">
      <c r="A14" s="2">
        <f t="shared" si="3"/>
        <v>6</v>
      </c>
      <c r="B14" s="2">
        <f t="shared" si="2"/>
        <v>7.3131880157531063E-3</v>
      </c>
      <c r="C14" s="2">
        <f t="shared" si="1"/>
        <v>4.5025192155678318E-3</v>
      </c>
      <c r="D14" s="2">
        <f t="shared" si="1"/>
        <v>5.8947668056418901E-4</v>
      </c>
      <c r="E14" s="2">
        <f t="shared" si="1"/>
        <v>-3.4678903045595199E-3</v>
      </c>
      <c r="F14" s="2">
        <f t="shared" si="1"/>
        <v>-6.6761967962244472E-3</v>
      </c>
      <c r="G14" s="2">
        <f t="shared" si="1"/>
        <v>-8.2499374716703787E-3</v>
      </c>
      <c r="H14" s="2">
        <f t="shared" si="1"/>
        <v>-7.8038057274233026E-3</v>
      </c>
      <c r="I14" s="2">
        <f t="shared" si="1"/>
        <v>-5.4470301738634352E-3</v>
      </c>
      <c r="J14" s="2">
        <f t="shared" si="1"/>
        <v>-1.7566316619231641E-3</v>
      </c>
      <c r="K14" s="2">
        <f t="shared" si="1"/>
        <v>2.3638515455268786E-3</v>
      </c>
    </row>
    <row r="15" spans="1:11" ht="15.6" x14ac:dyDescent="0.3">
      <c r="A15" s="2">
        <f t="shared" si="3"/>
        <v>7</v>
      </c>
      <c r="B15" s="2">
        <f t="shared" si="2"/>
        <v>1.1462994651523309E-3</v>
      </c>
      <c r="C15" s="2">
        <f t="shared" si="1"/>
        <v>5.032746589953797E-4</v>
      </c>
      <c r="D15" s="2">
        <f t="shared" si="1"/>
        <v>-3.1555846485151017E-4</v>
      </c>
      <c r="E15" s="2">
        <f t="shared" si="1"/>
        <v>-1.0241579382517301E-3</v>
      </c>
      <c r="F15" s="2">
        <f t="shared" si="1"/>
        <v>-1.3749895786117298E-3</v>
      </c>
      <c r="G15" s="2">
        <f t="shared" si="1"/>
        <v>-1.2454978004640934E-3</v>
      </c>
      <c r="H15" s="2">
        <f t="shared" si="1"/>
        <v>-6.8091780741763922E-4</v>
      </c>
      <c r="I15" s="2">
        <f t="shared" si="1"/>
        <v>1.2152636588812E-4</v>
      </c>
      <c r="J15" s="2">
        <f t="shared" si="1"/>
        <v>8.8151788325365821E-4</v>
      </c>
      <c r="K15" s="2">
        <f t="shared" si="1"/>
        <v>1.3335698425699523E-3</v>
      </c>
    </row>
    <row r="16" spans="1:11" ht="15.6" x14ac:dyDescent="0.3">
      <c r="A16" s="2">
        <f t="shared" si="3"/>
        <v>8</v>
      </c>
      <c r="B16" s="2">
        <f t="shared" si="2"/>
        <v>1.5175440223898578E-4</v>
      </c>
      <c r="C16" s="2">
        <f t="shared" si="1"/>
        <v>3.3723639464333497E-5</v>
      </c>
      <c r="D16" s="2">
        <f t="shared" si="1"/>
        <v>-1.001678778967972E-4</v>
      </c>
      <c r="E16" s="2">
        <f t="shared" si="1"/>
        <v>-1.8694887711679728E-4</v>
      </c>
      <c r="F16" s="2">
        <f t="shared" si="1"/>
        <v>-1.8580489827198341E-4</v>
      </c>
      <c r="G16" s="2">
        <f t="shared" si="1"/>
        <v>-9.7273972488234013E-5</v>
      </c>
      <c r="H16" s="2">
        <f t="shared" si="1"/>
        <v>3.7006422504479141E-5</v>
      </c>
      <c r="I16" s="2">
        <f t="shared" si="1"/>
        <v>1.5388211875203364E-4</v>
      </c>
      <c r="J16" s="2">
        <f t="shared" si="1"/>
        <v>1.9838465007607445E-4</v>
      </c>
      <c r="K16" s="2">
        <f t="shared" si="1"/>
        <v>1.4958378062367167E-4</v>
      </c>
    </row>
    <row r="17" spans="1:11" ht="15.6" x14ac:dyDescent="0.3">
      <c r="A17" s="2">
        <f t="shared" si="3"/>
        <v>9</v>
      </c>
      <c r="B17" s="2">
        <f t="shared" si="2"/>
        <v>1.7279432275475332E-5</v>
      </c>
      <c r="C17" s="2">
        <f t="shared" si="1"/>
        <v>-7.2419450152005986E-7</v>
      </c>
      <c r="D17" s="2">
        <f t="shared" si="1"/>
        <v>-1.8288534611638042E-5</v>
      </c>
      <c r="E17" s="2">
        <f t="shared" si="1"/>
        <v>-2.4759295034592092E-5</v>
      </c>
      <c r="F17" s="2">
        <f t="shared" si="1"/>
        <v>-1.6211399326974504E-5</v>
      </c>
      <c r="G17" s="2">
        <f t="shared" si="1"/>
        <v>2.1701136765735716E-6</v>
      </c>
      <c r="H17" s="2">
        <f t="shared" si="1"/>
        <v>1.9235264844004205E-5</v>
      </c>
      <c r="I17" s="2">
        <f t="shared" si="1"/>
        <v>2.4632562469201207E-5</v>
      </c>
      <c r="J17" s="2">
        <f t="shared" si="1"/>
        <v>1.5088078237407123E-5</v>
      </c>
      <c r="K17" s="2">
        <f t="shared" si="1"/>
        <v>-3.6086317908882106E-6</v>
      </c>
    </row>
    <row r="18" spans="1:11" ht="15.6" x14ac:dyDescent="0.3">
      <c r="A18" s="2">
        <f t="shared" si="3"/>
        <v>10</v>
      </c>
      <c r="B18" s="2">
        <f t="shared" si="2"/>
        <v>1.7129904328446439E-6</v>
      </c>
      <c r="C18" s="2">
        <f t="shared" si="1"/>
        <v>-6.2610806518156718E-7</v>
      </c>
      <c r="D18" s="2">
        <f t="shared" si="1"/>
        <v>-2.4913804619076862E-6</v>
      </c>
      <c r="E18" s="2">
        <f t="shared" si="1"/>
        <v>-2.4712257945716133E-6</v>
      </c>
      <c r="F18" s="2">
        <f t="shared" si="1"/>
        <v>-5.8089671359892996E-7</v>
      </c>
      <c r="G18" s="2">
        <f t="shared" si="1"/>
        <v>1.7490434191540837E-6</v>
      </c>
      <c r="H18" s="2">
        <f t="shared" si="1"/>
        <v>2.7553423621677005E-6</v>
      </c>
      <c r="I18" s="2">
        <f t="shared" si="1"/>
        <v>1.6764531374896804E-6</v>
      </c>
      <c r="J18" s="2">
        <f t="shared" si="1"/>
        <v>-6.7114239896326914E-7</v>
      </c>
      <c r="K18" s="2">
        <f t="shared" si="1"/>
        <v>-2.5108307481389887E-6</v>
      </c>
    </row>
    <row r="19" spans="1:11" ht="15.6" x14ac:dyDescent="0.3">
      <c r="A19" s="2">
        <f t="shared" si="3"/>
        <v>11</v>
      </c>
      <c r="B19" s="2">
        <f t="shared" si="2"/>
        <v>1.4889283120263993E-7</v>
      </c>
      <c r="C19" s="2">
        <f t="shared" si="1"/>
        <v>-1.1467891218781481E-7</v>
      </c>
      <c r="D19" s="2">
        <f t="shared" si="1"/>
        <v>-2.7281539258169246E-7</v>
      </c>
      <c r="E19" s="2">
        <f t="shared" si="1"/>
        <v>-1.8012665918860559E-7</v>
      </c>
      <c r="F19" s="2">
        <f t="shared" si="1"/>
        <v>7.8169693965836163E-8</v>
      </c>
      <c r="G19" s="2">
        <f t="shared" si="1"/>
        <v>2.6459719098610173E-7</v>
      </c>
      <c r="H19" s="2">
        <f t="shared" si="1"/>
        <v>2.0775525086621049E-7</v>
      </c>
      <c r="I19" s="2">
        <f t="shared" si="1"/>
        <v>-4.0095908787646787E-8</v>
      </c>
      <c r="J19" s="2">
        <f t="shared" si="1"/>
        <v>-2.5108307481389906E-7</v>
      </c>
      <c r="K19" s="2">
        <f t="shared" si="1"/>
        <v>-2.3122561978517787E-7</v>
      </c>
    </row>
    <row r="20" spans="1:11" ht="15.6" x14ac:dyDescent="0.3">
      <c r="A20" s="2">
        <f t="shared" si="3"/>
        <v>12</v>
      </c>
      <c r="B20" s="2">
        <f t="shared" si="2"/>
        <v>1.1363539197169546E-8</v>
      </c>
      <c r="C20" s="2">
        <f t="shared" si="1"/>
        <v>-1.4743193774434468E-8</v>
      </c>
      <c r="D20" s="2">
        <f t="shared" si="1"/>
        <v>-2.473845022418793E-8</v>
      </c>
      <c r="E20" s="2">
        <f t="shared" si="1"/>
        <v>-7.6993363691082283E-9</v>
      </c>
      <c r="F20" s="2">
        <f t="shared" si="1"/>
        <v>1.7753671995031165E-8</v>
      </c>
      <c r="G20" s="2">
        <f t="shared" si="1"/>
        <v>2.38053298851243E-8</v>
      </c>
      <c r="H20" s="2">
        <f t="shared" si="1"/>
        <v>3.8423386152663852E-9</v>
      </c>
      <c r="I20" s="2">
        <f t="shared" si="1"/>
        <v>-2.0319590098947184E-8</v>
      </c>
      <c r="J20" s="2">
        <f t="shared" si="1"/>
        <v>-2.2276113130946413E-8</v>
      </c>
      <c r="K20" s="2">
        <f t="shared" si="1"/>
        <v>1.1087306567783512E-10</v>
      </c>
    </row>
    <row r="21" spans="1:11" ht="15.6" x14ac:dyDescent="0.3">
      <c r="A21" s="2">
        <f t="shared" si="3"/>
        <v>13</v>
      </c>
      <c r="B21" s="2">
        <f t="shared" si="2"/>
        <v>7.5648547828790846E-10</v>
      </c>
      <c r="C21" s="2">
        <f t="shared" si="1"/>
        <v>-1.5394389403735724E-9</v>
      </c>
      <c r="D21" s="2">
        <f t="shared" si="1"/>
        <v>-1.8721407534633427E-9</v>
      </c>
      <c r="E21" s="2">
        <f t="shared" si="1"/>
        <v>1.826695013950836E-10</v>
      </c>
      <c r="F21" s="2">
        <f t="shared" si="1"/>
        <v>2.0045241741371345E-9</v>
      </c>
      <c r="G21" s="2">
        <f t="shared" si="1"/>
        <v>1.2700402556740003E-9</v>
      </c>
      <c r="H21" s="2">
        <f t="shared" si="1"/>
        <v>-1.0841063038551106E-9</v>
      </c>
      <c r="I21" s="2">
        <f t="shared" si="1"/>
        <v>-2.0557089074318896E-9</v>
      </c>
      <c r="J21" s="2">
        <f t="shared" si="1"/>
        <v>-4.0569782325432014E-10</v>
      </c>
      <c r="K21" s="2">
        <f t="shared" si="1"/>
        <v>1.7616934029708692E-9</v>
      </c>
    </row>
    <row r="22" spans="1:11" ht="15.6" x14ac:dyDescent="0.3">
      <c r="A22" s="2">
        <f t="shared" si="3"/>
        <v>14</v>
      </c>
      <c r="B22" s="2">
        <f t="shared" si="2"/>
        <v>4.2957754151806805E-11</v>
      </c>
      <c r="C22" s="2">
        <f t="shared" si="1"/>
        <v>-1.376081405363135E-10</v>
      </c>
      <c r="D22" s="2">
        <f t="shared" si="1"/>
        <v>-1.1657778695714969E-10</v>
      </c>
      <c r="E22" s="2">
        <f t="shared" si="1"/>
        <v>7.5239297626944993E-11</v>
      </c>
      <c r="F22" s="2">
        <f t="shared" si="1"/>
        <v>1.5683063492063869E-10</v>
      </c>
      <c r="G22" s="2">
        <f t="shared" si="1"/>
        <v>8.6647246404973872E-12</v>
      </c>
      <c r="H22" s="2">
        <f t="shared" si="1"/>
        <v>-1.5219502753726338E-10</v>
      </c>
      <c r="I22" s="2">
        <f t="shared" si="1"/>
        <v>-9.0088707817907122E-11</v>
      </c>
      <c r="J22" s="2">
        <f t="shared" si="1"/>
        <v>1.0399777991007769E-10</v>
      </c>
      <c r="K22" s="2">
        <f t="shared" si="1"/>
        <v>1.4572727642891396E-10</v>
      </c>
    </row>
    <row r="23" spans="1:11" ht="15.6" x14ac:dyDescent="0.3">
      <c r="A23" s="2">
        <f t="shared" si="3"/>
        <v>15</v>
      </c>
      <c r="B23" s="2">
        <f t="shared" si="2"/>
        <v>1.9496498561816364E-12</v>
      </c>
      <c r="C23" s="2">
        <f t="shared" si="1"/>
        <v>-1.080799276630761E-11</v>
      </c>
      <c r="D23" s="2">
        <f t="shared" si="1"/>
        <v>-5.6236571581331777E-12</v>
      </c>
      <c r="E23" s="2">
        <f t="shared" si="1"/>
        <v>8.8963188866708382E-12</v>
      </c>
      <c r="F23" s="2">
        <f t="shared" si="1"/>
        <v>8.6478209651269761E-12</v>
      </c>
      <c r="G23" s="2">
        <f t="shared" si="1"/>
        <v>-5.9566280431599643E-12</v>
      </c>
      <c r="H23" s="2">
        <f t="shared" si="1"/>
        <v>-1.0672683064757686E-11</v>
      </c>
      <c r="I23" s="2">
        <f t="shared" si="1"/>
        <v>2.3286171479666533E-12</v>
      </c>
      <c r="J23" s="2">
        <f t="shared" si="1"/>
        <v>1.1464259871854484E-11</v>
      </c>
      <c r="K23" s="2">
        <f t="shared" si="1"/>
        <v>1.5684778438033361E-12</v>
      </c>
    </row>
    <row r="24" spans="1:11" ht="15.6" x14ac:dyDescent="0.3">
      <c r="A24" s="2">
        <f t="shared" si="3"/>
        <v>16</v>
      </c>
      <c r="B24" s="2">
        <f t="shared" si="2"/>
        <v>5.4093896308368188E-14</v>
      </c>
      <c r="C24" s="2">
        <f t="shared" si="1"/>
        <v>-7.5706347147766794E-13</v>
      </c>
      <c r="D24" s="2">
        <f t="shared" si="1"/>
        <v>-1.6119899922270161E-13</v>
      </c>
      <c r="E24" s="2">
        <f t="shared" si="1"/>
        <v>7.3425793924437151E-13</v>
      </c>
      <c r="F24" s="2">
        <f t="shared" si="1"/>
        <v>2.650777030715844E-13</v>
      </c>
      <c r="G24" s="2">
        <f t="shared" si="1"/>
        <v>-6.9675622936479924E-13</v>
      </c>
      <c r="H24" s="2">
        <f t="shared" si="1"/>
        <v>-3.6365087489119654E-13</v>
      </c>
      <c r="I24" s="2">
        <f t="shared" si="1"/>
        <v>6.4530893881716819E-13</v>
      </c>
      <c r="J24" s="2">
        <f t="shared" si="1"/>
        <v>4.5494557197736053E-13</v>
      </c>
      <c r="K24" s="2">
        <f t="shared" si="1"/>
        <v>-5.8094578547158618E-13</v>
      </c>
    </row>
    <row r="25" spans="1:11" ht="15.6" x14ac:dyDescent="0.3">
      <c r="A25" s="2">
        <f t="shared" si="3"/>
        <v>17</v>
      </c>
      <c r="B25" s="2">
        <f t="shared" si="2"/>
        <v>-1.3955845495554982E-15</v>
      </c>
      <c r="C25" s="2">
        <f t="shared" si="2"/>
        <v>-4.7713272519517694E-14</v>
      </c>
      <c r="D25" s="2">
        <f t="shared" si="2"/>
        <v>4.1819940795577748E-15</v>
      </c>
      <c r="E25" s="2">
        <f t="shared" si="2"/>
        <v>4.7469048060737884E-14</v>
      </c>
      <c r="F25" s="2">
        <f t="shared" si="2"/>
        <v>-6.9541411344986659E-15</v>
      </c>
      <c r="G25" s="2">
        <f t="shared" si="2"/>
        <v>-4.7062932862451681E-14</v>
      </c>
      <c r="H25" s="2">
        <f t="shared" si="2"/>
        <v>9.7025714498610563E-15</v>
      </c>
      <c r="I25" s="2">
        <f t="shared" si="2"/>
        <v>4.6496311959591558E-14</v>
      </c>
      <c r="J25" s="2">
        <f t="shared" si="2"/>
        <v>-1.2417911645844566E-14</v>
      </c>
      <c r="K25" s="2">
        <f t="shared" si="2"/>
        <v>-4.5771117783515026E-14</v>
      </c>
    </row>
    <row r="26" spans="1:11" ht="15.6" x14ac:dyDescent="0.3">
      <c r="A26" s="2">
        <f t="shared" si="3"/>
        <v>18</v>
      </c>
      <c r="B26" s="2">
        <f t="shared" ref="B26:K28" si="4">(COS(B$7*($A26-1))/FACT($A26-1))</f>
        <v>-3.6224078816963346E-16</v>
      </c>
      <c r="C26" s="2">
        <f t="shared" si="4"/>
        <v>-2.718111792015663E-15</v>
      </c>
      <c r="D26" s="2">
        <f t="shared" si="4"/>
        <v>1.0626682667315555E-15</v>
      </c>
      <c r="E26" s="2">
        <f t="shared" si="4"/>
        <v>2.4442738811538048E-15</v>
      </c>
      <c r="F26" s="2">
        <f t="shared" si="4"/>
        <v>-1.6925307310055971E-15</v>
      </c>
      <c r="G26" s="2">
        <f t="shared" si="4"/>
        <v>-2.0081273489217055E-15</v>
      </c>
      <c r="H26" s="2">
        <f t="shared" si="4"/>
        <v>2.2100030365112538E-15</v>
      </c>
      <c r="I26" s="2">
        <f t="shared" si="4"/>
        <v>1.4386339016599714E-15</v>
      </c>
      <c r="J26" s="2">
        <f t="shared" si="4"/>
        <v>-2.5807231515828081E-15</v>
      </c>
      <c r="K26" s="2">
        <f t="shared" si="4"/>
        <v>-7.7360996289510056E-16</v>
      </c>
    </row>
    <row r="27" spans="1:11" ht="15.6" x14ac:dyDescent="0.3">
      <c r="A27" s="2">
        <f t="shared" si="3"/>
        <v>19</v>
      </c>
      <c r="B27" s="2">
        <f t="shared" si="4"/>
        <v>-3.5487165407076537E-17</v>
      </c>
      <c r="C27" s="2">
        <f t="shared" si="4"/>
        <v>-1.4006655305544658E-16</v>
      </c>
      <c r="D27" s="2">
        <f t="shared" si="4"/>
        <v>9.913399390835233E-17</v>
      </c>
      <c r="E27" s="2">
        <f t="shared" si="4"/>
        <v>9.5019650912907818E-17</v>
      </c>
      <c r="F27" s="2">
        <f t="shared" si="4"/>
        <v>-1.4231132135718941E-16</v>
      </c>
      <c r="G27" s="2">
        <f t="shared" si="4"/>
        <v>-3.0352790291119022E-17</v>
      </c>
      <c r="H27" s="2">
        <f t="shared" si="4"/>
        <v>1.5610375642503379E-16</v>
      </c>
      <c r="I27" s="2">
        <f t="shared" si="4"/>
        <v>-4.0581410607335183E-17</v>
      </c>
      <c r="J27" s="2">
        <f t="shared" si="4"/>
        <v>-1.3766339343386013E-16</v>
      </c>
      <c r="K27" s="2">
        <f t="shared" si="4"/>
        <v>1.0313623330879813E-16</v>
      </c>
    </row>
    <row r="28" spans="1:11" ht="16.2" thickBot="1" x14ac:dyDescent="0.35">
      <c r="A28" s="2">
        <f t="shared" si="3"/>
        <v>20</v>
      </c>
      <c r="B28" s="2">
        <f t="shared" si="4"/>
        <v>-2.6576456082240303E-18</v>
      </c>
      <c r="C28" s="2">
        <f t="shared" si="4"/>
        <v>-6.502257051505451E-18</v>
      </c>
      <c r="D28" s="2">
        <f t="shared" si="4"/>
        <v>6.8618693398567511E-18</v>
      </c>
      <c r="E28" s="2">
        <f t="shared" si="4"/>
        <v>2.0655155179929651E-18</v>
      </c>
      <c r="F28" s="2">
        <f t="shared" si="4"/>
        <v>-8.1973885741803298E-18</v>
      </c>
      <c r="G28" s="2">
        <f t="shared" si="4"/>
        <v>3.2347448851242151E-18</v>
      </c>
      <c r="H28" s="2">
        <f t="shared" si="4"/>
        <v>6.1058700285288565E-18</v>
      </c>
      <c r="I28" s="2">
        <f t="shared" si="4"/>
        <v>-7.182673038820089E-18</v>
      </c>
      <c r="J28" s="2">
        <f t="shared" si="4"/>
        <v>-1.4617035172442455E-18</v>
      </c>
      <c r="K28" s="2">
        <f t="shared" si="4"/>
        <v>8.127780032765587E-18</v>
      </c>
    </row>
    <row r="29" spans="1:11" ht="16.2" thickBot="1" x14ac:dyDescent="0.35">
      <c r="A29" s="11" t="s">
        <v>2</v>
      </c>
      <c r="B29" s="10">
        <f t="shared" ref="B29:K29" si="5">SUM(B9:B28)</f>
        <v>2.6912681391667035</v>
      </c>
      <c r="C29" s="10">
        <f t="shared" si="5"/>
        <v>2.6122204929844552</v>
      </c>
      <c r="D29" s="10">
        <f t="shared" si="5"/>
        <v>2.486856868603152</v>
      </c>
      <c r="E29" s="10">
        <f t="shared" si="5"/>
        <v>2.3238842457941962</v>
      </c>
      <c r="F29" s="10">
        <f t="shared" si="5"/>
        <v>2.133930111437405</v>
      </c>
      <c r="G29" s="10">
        <f t="shared" si="5"/>
        <v>1.9283342378052781</v>
      </c>
      <c r="H29" s="10">
        <f t="shared" si="5"/>
        <v>1.7179999609519061</v>
      </c>
      <c r="I29" s="10">
        <f t="shared" si="5"/>
        <v>1.5124670047163074</v>
      </c>
      <c r="J29" s="10">
        <f t="shared" si="5"/>
        <v>1.3193027107322823</v>
      </c>
      <c r="K29" s="10">
        <f t="shared" si="5"/>
        <v>1.1438356437916406</v>
      </c>
    </row>
    <row r="30" spans="1:11" ht="16.2" thickBot="1" x14ac:dyDescent="0.35">
      <c r="A30" s="11" t="s">
        <v>3</v>
      </c>
      <c r="B30" s="10">
        <f>EXP(COS(B$7))*COS(SIN(B$7))</f>
        <v>2.691268139166703</v>
      </c>
      <c r="C30" s="10">
        <f t="shared" ref="C30:K30" si="6">EXP(COS(C$7))*COS(SIN(C$7))</f>
        <v>2.6122204929844544</v>
      </c>
      <c r="D30" s="10">
        <f t="shared" si="6"/>
        <v>2.486856868603152</v>
      </c>
      <c r="E30" s="10">
        <f t="shared" si="6"/>
        <v>2.3238842457941966</v>
      </c>
      <c r="F30" s="10">
        <f t="shared" si="6"/>
        <v>2.133930111437405</v>
      </c>
      <c r="G30" s="10">
        <f t="shared" si="6"/>
        <v>1.9283342378052784</v>
      </c>
      <c r="H30" s="10">
        <f t="shared" si="6"/>
        <v>1.7179999609519054</v>
      </c>
      <c r="I30" s="10">
        <f t="shared" si="6"/>
        <v>1.5124670047163078</v>
      </c>
      <c r="J30" s="10">
        <f t="shared" si="6"/>
        <v>1.3193027107322826</v>
      </c>
      <c r="K30" s="10">
        <f t="shared" si="6"/>
        <v>1.1438356437916406</v>
      </c>
    </row>
  </sheetData>
  <mergeCells count="15">
    <mergeCell ref="K7:K8"/>
    <mergeCell ref="B5:D5"/>
    <mergeCell ref="A1:B1"/>
    <mergeCell ref="A2:J2"/>
    <mergeCell ref="B3:D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conditionalFormatting sqref="B9:K30">
    <cfRule type="cellIs" dxfId="1" priority="2" operator="greaterThan">
      <formula>1.5</formula>
    </cfRule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Вариант1</vt:lpstr>
      <vt:lpstr>Вариант2</vt:lpstr>
      <vt:lpstr>Вариант3</vt:lpstr>
      <vt:lpstr>Вариант4</vt:lpstr>
      <vt:lpstr>Вариант5</vt:lpstr>
      <vt:lpstr>Вариант6</vt:lpstr>
      <vt:lpstr>Вариант7</vt:lpstr>
      <vt:lpstr>Вариант8</vt:lpstr>
      <vt:lpstr>Вариант9</vt:lpstr>
      <vt:lpstr>Вариант10</vt:lpstr>
      <vt:lpstr>Вариант11</vt:lpstr>
      <vt:lpstr>Вариант12</vt:lpstr>
      <vt:lpstr>Вариант13</vt:lpstr>
      <vt:lpstr>Вариант14</vt:lpstr>
      <vt:lpstr>Вариант15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Ищенко Кирилл Николаевич</dc:creator>
  <cp:lastModifiedBy>User</cp:lastModifiedBy>
  <dcterms:created xsi:type="dcterms:W3CDTF">2023-11-26T15:02:49Z</dcterms:created>
  <dcterms:modified xsi:type="dcterms:W3CDTF">2023-12-04T07:28:45Z</dcterms:modified>
</cp:coreProperties>
</file>