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544" windowHeight="8952" activeTab="10"/>
  </bookViews>
  <sheets>
    <sheet name="1.1" sheetId="1" r:id="rId1"/>
    <sheet name="Лист4" sheetId="4" state="hidden" r:id="rId2"/>
    <sheet name="1.2" sheetId="2" r:id="rId3"/>
    <sheet name="1.3" sheetId="3" r:id="rId4"/>
    <sheet name="2.1" sheetId="5" r:id="rId5"/>
    <sheet name="2.1.2" sheetId="13" r:id="rId6"/>
    <sheet name="2.2" sheetId="6" r:id="rId7"/>
    <sheet name="2.3" sheetId="7" r:id="rId8"/>
    <sheet name="2.4,5" sheetId="8" r:id="rId9"/>
    <sheet name="3" sheetId="10" r:id="rId10"/>
    <sheet name="3.1" sheetId="11" r:id="rId11"/>
    <sheet name="3.2" sheetId="12" r:id="rId12"/>
  </sheets>
  <definedNames>
    <definedName name="_xlnm._FilterDatabase" localSheetId="4" hidden="1">'2.1'!$A$4:$G$66</definedName>
    <definedName name="_xlnm._FilterDatabase" localSheetId="8" hidden="1">'2.4,5'!$A$74:$G$74</definedName>
    <definedName name="Срез_Дата">#N/A</definedName>
    <definedName name="Срез_Дата1">#N/A</definedName>
    <definedName name="Срез_Наименование_товара">#N/A</definedName>
    <definedName name="Срез_Наименование_товара1">#N/A</definedName>
    <definedName name="Срез_Наименование_фирмы">#N/A</definedName>
    <definedName name="Срез_Наименование_фирмы1">#N/A</definedName>
  </definedNames>
  <calcPr calcId="162913"/>
  <pivotCaches>
    <pivotCache cacheId="0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3" l="1"/>
  <c r="A2" i="13"/>
  <c r="G26" i="10" l="1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5" i="5"/>
  <c r="F5" i="5" s="1"/>
  <c r="G5" i="5" s="1"/>
  <c r="D28" i="5"/>
  <c r="F28" i="5" s="1"/>
  <c r="G28" i="5" s="1"/>
  <c r="D44" i="5"/>
  <c r="F44" i="5" s="1"/>
  <c r="G44" i="5" s="1"/>
  <c r="D61" i="5"/>
  <c r="F61" i="5" s="1"/>
  <c r="G61" i="5" s="1"/>
  <c r="G144" i="8"/>
  <c r="G138" i="8"/>
  <c r="G133" i="8"/>
  <c r="G125" i="8"/>
  <c r="G118" i="8"/>
  <c r="G107" i="8"/>
  <c r="G96" i="8"/>
  <c r="G91" i="8"/>
  <c r="G85" i="8"/>
  <c r="G78" i="8"/>
  <c r="G67" i="8"/>
  <c r="G56" i="8"/>
  <c r="G45" i="8"/>
  <c r="G34" i="8"/>
  <c r="G23" i="8"/>
  <c r="G12" i="8"/>
  <c r="F12" i="3"/>
  <c r="F13" i="3" s="1"/>
  <c r="D12" i="3"/>
  <c r="D13" i="3" s="1"/>
  <c r="B1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C2" i="2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B2" i="1"/>
  <c r="U1" i="1"/>
  <c r="V1" i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O1" i="1"/>
  <c r="P1" i="1"/>
  <c r="Q1" i="1" s="1"/>
  <c r="R1" i="1" s="1"/>
  <c r="S1" i="1" s="1"/>
  <c r="T1" i="1" s="1"/>
  <c r="D1" i="1"/>
  <c r="E1" i="1"/>
  <c r="F1" i="1" s="1"/>
  <c r="G1" i="1" s="1"/>
  <c r="H1" i="1" s="1"/>
  <c r="I1" i="1" s="1"/>
  <c r="J1" i="1" s="1"/>
  <c r="K1" i="1" s="1"/>
  <c r="L1" i="1" s="1"/>
  <c r="M1" i="1" s="1"/>
  <c r="N1" i="1" s="1"/>
  <c r="C1" i="1"/>
  <c r="B1" i="1"/>
  <c r="D55" i="5" l="1"/>
  <c r="F55" i="5" s="1"/>
  <c r="G55" i="5" s="1"/>
  <c r="D22" i="5"/>
  <c r="F22" i="5" s="1"/>
  <c r="G22" i="5" s="1"/>
  <c r="D39" i="5"/>
  <c r="F39" i="5" s="1"/>
  <c r="G39" i="5" s="1"/>
  <c r="D21" i="5"/>
  <c r="F21" i="5" s="1"/>
  <c r="G21" i="5" s="1"/>
  <c r="D53" i="5"/>
  <c r="F53" i="5" s="1"/>
  <c r="G53" i="5" s="1"/>
  <c r="D34" i="5"/>
  <c r="F34" i="5" s="1"/>
  <c r="G34" i="5" s="1"/>
  <c r="D17" i="5"/>
  <c r="F17" i="5" s="1"/>
  <c r="G17" i="5" s="1"/>
  <c r="D52" i="5"/>
  <c r="F52" i="5" s="1"/>
  <c r="G52" i="5" s="1"/>
  <c r="D33" i="5"/>
  <c r="F33" i="5" s="1"/>
  <c r="G33" i="5" s="1"/>
  <c r="D13" i="5"/>
  <c r="F13" i="5" s="1"/>
  <c r="G13" i="5" s="1"/>
  <c r="D64" i="5"/>
  <c r="F64" i="5" s="1"/>
  <c r="G64" i="5" s="1"/>
  <c r="D48" i="5"/>
  <c r="F48" i="5" s="1"/>
  <c r="G48" i="5" s="1"/>
  <c r="D32" i="5"/>
  <c r="F32" i="5" s="1"/>
  <c r="G32" i="5" s="1"/>
  <c r="D10" i="5"/>
  <c r="F10" i="5" s="1"/>
  <c r="G10" i="5" s="1"/>
  <c r="D57" i="5"/>
  <c r="F57" i="5" s="1"/>
  <c r="G57" i="5" s="1"/>
  <c r="D43" i="5"/>
  <c r="F43" i="5" s="1"/>
  <c r="G43" i="5" s="1"/>
  <c r="D25" i="5"/>
  <c r="F25" i="5" s="1"/>
  <c r="G25" i="5" s="1"/>
  <c r="D42" i="5"/>
  <c r="F42" i="5" s="1"/>
  <c r="G42" i="5" s="1"/>
  <c r="D54" i="5"/>
  <c r="F54" i="5" s="1"/>
  <c r="G54" i="5" s="1"/>
  <c r="D63" i="5"/>
  <c r="F63" i="5" s="1"/>
  <c r="G63" i="5" s="1"/>
  <c r="D45" i="5"/>
  <c r="F45" i="5" s="1"/>
  <c r="G45" i="5" s="1"/>
  <c r="D31" i="5"/>
  <c r="F31" i="5" s="1"/>
  <c r="G31" i="5" s="1"/>
  <c r="D9" i="5"/>
  <c r="F9" i="5" s="1"/>
  <c r="G9" i="5" s="1"/>
  <c r="D8" i="5"/>
  <c r="F8" i="5" s="1"/>
  <c r="G8" i="5" s="1"/>
  <c r="D60" i="5"/>
  <c r="F60" i="5" s="1"/>
  <c r="G60" i="5" s="1"/>
  <c r="D51" i="5"/>
  <c r="F51" i="5" s="1"/>
  <c r="G51" i="5" s="1"/>
  <c r="D41" i="5"/>
  <c r="F41" i="5" s="1"/>
  <c r="G41" i="5" s="1"/>
  <c r="D30" i="5"/>
  <c r="F30" i="5" s="1"/>
  <c r="G30" i="5" s="1"/>
  <c r="D19" i="5"/>
  <c r="F19" i="5" s="1"/>
  <c r="G19" i="5" s="1"/>
  <c r="D7" i="5"/>
  <c r="F7" i="5" s="1"/>
  <c r="G7" i="5" s="1"/>
  <c r="D20" i="5"/>
  <c r="F20" i="5" s="1"/>
  <c r="G20" i="5" s="1"/>
  <c r="D58" i="5"/>
  <c r="F58" i="5" s="1"/>
  <c r="G58" i="5" s="1"/>
  <c r="D49" i="5"/>
  <c r="F49" i="5" s="1"/>
  <c r="G49" i="5" s="1"/>
  <c r="D40" i="5"/>
  <c r="F40" i="5" s="1"/>
  <c r="G40" i="5" s="1"/>
  <c r="D29" i="5"/>
  <c r="F29" i="5" s="1"/>
  <c r="G29" i="5" s="1"/>
  <c r="D18" i="5"/>
  <c r="F18" i="5" s="1"/>
  <c r="G18" i="5" s="1"/>
  <c r="D6" i="5"/>
  <c r="F6" i="5" s="1"/>
  <c r="G6" i="5" s="1"/>
  <c r="D56" i="5"/>
  <c r="F56" i="5" s="1"/>
  <c r="G56" i="5" s="1"/>
  <c r="D46" i="5"/>
  <c r="F46" i="5" s="1"/>
  <c r="G46" i="5" s="1"/>
  <c r="D37" i="5"/>
  <c r="F37" i="5" s="1"/>
  <c r="G37" i="5" s="1"/>
  <c r="D27" i="5"/>
  <c r="F27" i="5" s="1"/>
  <c r="G27" i="5" s="1"/>
  <c r="D16" i="5"/>
  <c r="F16" i="5" s="1"/>
  <c r="G16" i="5" s="1"/>
  <c r="D11" i="5"/>
  <c r="F11" i="5" s="1"/>
  <c r="G11" i="5" s="1"/>
  <c r="D15" i="5"/>
  <c r="F15" i="5" s="1"/>
  <c r="G15" i="5" s="1"/>
  <c r="D62" i="5"/>
  <c r="F62" i="5" s="1"/>
  <c r="G62" i="5" s="1"/>
  <c r="D50" i="5"/>
  <c r="F50" i="5" s="1"/>
  <c r="G50" i="5" s="1"/>
  <c r="D38" i="5"/>
  <c r="F38" i="5" s="1"/>
  <c r="G38" i="5" s="1"/>
  <c r="D26" i="5"/>
  <c r="F26" i="5" s="1"/>
  <c r="G26" i="5" s="1"/>
  <c r="D14" i="5"/>
  <c r="F14" i="5" s="1"/>
  <c r="G14" i="5" s="1"/>
  <c r="D36" i="5"/>
  <c r="F36" i="5" s="1"/>
  <c r="G36" i="5" s="1"/>
  <c r="D24" i="5"/>
  <c r="F24" i="5" s="1"/>
  <c r="G24" i="5" s="1"/>
  <c r="D12" i="5"/>
  <c r="F12" i="5" s="1"/>
  <c r="G12" i="5" s="1"/>
  <c r="D59" i="5"/>
  <c r="F59" i="5" s="1"/>
  <c r="G59" i="5" s="1"/>
  <c r="D47" i="5"/>
  <c r="F47" i="5" s="1"/>
  <c r="G47" i="5" s="1"/>
  <c r="D35" i="5"/>
  <c r="F35" i="5" s="1"/>
  <c r="G35" i="5" s="1"/>
  <c r="D23" i="5"/>
  <c r="F23" i="5" s="1"/>
  <c r="G23" i="5" s="1"/>
  <c r="G145" i="8"/>
  <c r="G68" i="8"/>
  <c r="G65" i="5" l="1"/>
  <c r="G66" i="5"/>
</calcChain>
</file>

<file path=xl/sharedStrings.xml><?xml version="1.0" encoding="utf-8"?>
<sst xmlns="http://schemas.openxmlformats.org/spreadsheetml/2006/main" count="505" uniqueCount="107">
  <si>
    <t>x</t>
  </si>
  <si>
    <t>f(x)</t>
  </si>
  <si>
    <t>Наименование товара</t>
  </si>
  <si>
    <t>Срок хранения, мес.</t>
  </si>
  <si>
    <t>Цена товара до уценки</t>
  </si>
  <si>
    <t>Цена товара после уценки</t>
  </si>
  <si>
    <t>Яйца</t>
  </si>
  <si>
    <t>Рис</t>
  </si>
  <si>
    <t>Хлеб</t>
  </si>
  <si>
    <t>Макароны</t>
  </si>
  <si>
    <t>Горох</t>
  </si>
  <si>
    <t>Майонез</t>
  </si>
  <si>
    <t>Колбаса</t>
  </si>
  <si>
    <t>Молоко</t>
  </si>
  <si>
    <t>Гречка</t>
  </si>
  <si>
    <t>Пшено</t>
  </si>
  <si>
    <t>Мука</t>
  </si>
  <si>
    <t>Сахар</t>
  </si>
  <si>
    <t>Сосиски</t>
  </si>
  <si>
    <t>Оливковое масло</t>
  </si>
  <si>
    <t>Сливочное масло</t>
  </si>
  <si>
    <t>Круассан</t>
  </si>
  <si>
    <t>Площадь, млн. кв. км.</t>
  </si>
  <si>
    <t>Количество населения, млн. чел.</t>
  </si>
  <si>
    <t>Плотность населения, чел. на кв. км.</t>
  </si>
  <si>
    <t>Плотность населения чел. на кв. км.</t>
  </si>
  <si>
    <t>Австралия и Океания</t>
  </si>
  <si>
    <t>Африка</t>
  </si>
  <si>
    <t>Южная Америка</t>
  </si>
  <si>
    <t>Северная и Центральная Америка</t>
  </si>
  <si>
    <t>Азия</t>
  </si>
  <si>
    <t>Европа</t>
  </si>
  <si>
    <t>Весь мир</t>
  </si>
  <si>
    <t>Всего</t>
  </si>
  <si>
    <t>Мин</t>
  </si>
  <si>
    <t>Макс</t>
  </si>
  <si>
    <t>Название территории</t>
  </si>
  <si>
    <t>изд1</t>
  </si>
  <si>
    <t>изд10</t>
  </si>
  <si>
    <t>изд2</t>
  </si>
  <si>
    <t>изд3</t>
  </si>
  <si>
    <t>изд4</t>
  </si>
  <si>
    <t>изд5</t>
  </si>
  <si>
    <t>изд6</t>
  </si>
  <si>
    <t>изд7</t>
  </si>
  <si>
    <t>изд8</t>
  </si>
  <si>
    <t>изд9</t>
  </si>
  <si>
    <t>ИТОГО:</t>
  </si>
  <si>
    <t>Прибыль</t>
  </si>
  <si>
    <t>Дата продажи</t>
  </si>
  <si>
    <t>Изделие</t>
  </si>
  <si>
    <t>Стоимость</t>
  </si>
  <si>
    <t>Наценка, руб</t>
  </si>
  <si>
    <t>Количество</t>
  </si>
  <si>
    <t>Продажная цена</t>
  </si>
  <si>
    <t>Таблица продаж</t>
  </si>
  <si>
    <t>Наценка, %</t>
  </si>
  <si>
    <t>НДС</t>
  </si>
  <si>
    <t>Фильтр 01.02.1997</t>
  </si>
  <si>
    <t>Фильтр изд4</t>
  </si>
  <si>
    <t>Фильтр количество продаж от 20 до 50</t>
  </si>
  <si>
    <t>Сортировка (дата: от старых к новым; количество: по возрастанию; стоимость: по убыванию; прибыль: по убыванию)</t>
  </si>
  <si>
    <t>01.03.1996 Итог</t>
  </si>
  <si>
    <t>03.09.1996 Итог</t>
  </si>
  <si>
    <t>01.02.1997 Итог</t>
  </si>
  <si>
    <t>01.05.1997 Итог</t>
  </si>
  <si>
    <t>01.07.1998 Итог</t>
  </si>
  <si>
    <t>01.11.1998 Итог</t>
  </si>
  <si>
    <t>Общий итог</t>
  </si>
  <si>
    <t>изд8 Итог</t>
  </si>
  <si>
    <t>изд1 Итог</t>
  </si>
  <si>
    <t>изд7 Итог</t>
  </si>
  <si>
    <t>изд4 Итог</t>
  </si>
  <si>
    <t>изд9 Итог</t>
  </si>
  <si>
    <t>изд5 Итог</t>
  </si>
  <si>
    <t>изд3 Итог</t>
  </si>
  <si>
    <t>изд6 Итог</t>
  </si>
  <si>
    <t>изд10 Итог</t>
  </si>
  <si>
    <t>изд2 Итог</t>
  </si>
  <si>
    <t>Дата</t>
  </si>
  <si>
    <t>Наименование фирмы</t>
  </si>
  <si>
    <t>Код фирмы</t>
  </si>
  <si>
    <t>Цена, руб.</t>
  </si>
  <si>
    <t>Сумма, руб.</t>
  </si>
  <si>
    <t>Приват</t>
  </si>
  <si>
    <t>Изготовление дверей</t>
  </si>
  <si>
    <t>Пиломатериалы</t>
  </si>
  <si>
    <t>Изготовление фундамента</t>
  </si>
  <si>
    <t>Кровельные работы</t>
  </si>
  <si>
    <t>Медик</t>
  </si>
  <si>
    <t>Сервис</t>
  </si>
  <si>
    <t>Проект-М</t>
  </si>
  <si>
    <t>Названия строк</t>
  </si>
  <si>
    <t>Сумма по полю Сумма, руб.</t>
  </si>
  <si>
    <t>01.июн</t>
  </si>
  <si>
    <t>03.июн</t>
  </si>
  <si>
    <t>02.июл</t>
  </si>
  <si>
    <t>04.июл</t>
  </si>
  <si>
    <t>Названия столбцов</t>
  </si>
  <si>
    <t>Итог Сумма по полю Сумма, руб.</t>
  </si>
  <si>
    <t>Итог Среднее по полю Сумма, руб.</t>
  </si>
  <si>
    <t>Среднее по полю Сумма, руб.</t>
  </si>
  <si>
    <t>Итог Минимум по полю Сумма, руб.</t>
  </si>
  <si>
    <t>Минимум по полю Сумма, руб.</t>
  </si>
  <si>
    <t>Итог Максимум по полю Сумма, руб.</t>
  </si>
  <si>
    <t>Максимум по полю Сумма, руб.</t>
  </si>
  <si>
    <t xml:space="preserve">помежутчный итог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</si>
</sst>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&quot;₽&quot;"/>
    <numFmt numFmtId="165" formatCode="#,##0.00\ _₽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1" fillId="0" borderId="2" xfId="2" applyBorder="1" applyAlignment="1">
      <alignment horizontal="center" vertical="center" wrapText="1"/>
    </xf>
    <xf numFmtId="0" fontId="1" fillId="0" borderId="3" xfId="2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164" fontId="1" fillId="0" borderId="1" xfId="2" applyNumberFormat="1" applyBorder="1" applyAlignment="1">
      <alignment horizontal="center" vertical="center"/>
    </xf>
    <xf numFmtId="0" fontId="1" fillId="0" borderId="0" xfId="2" applyAlignment="1">
      <alignment horizontal="center" vertical="center"/>
    </xf>
    <xf numFmtId="14" fontId="1" fillId="0" borderId="1" xfId="2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4" xfId="2" applyNumberForma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1" xfId="2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0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64" fontId="1" fillId="0" borderId="1" xfId="2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2" fillId="0" borderId="5" xfId="2" applyNumberFormat="1" applyFont="1" applyBorder="1" applyAlignment="1">
      <alignment horizontal="right" vertical="center"/>
    </xf>
    <xf numFmtId="0" fontId="0" fillId="0" borderId="10" xfId="0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44" fontId="0" fillId="0" borderId="0" xfId="0" applyNumberFormat="1"/>
    <xf numFmtId="43" fontId="0" fillId="0" borderId="0" xfId="0" applyNumberFormat="1"/>
    <xf numFmtId="0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1" fillId="0" borderId="0" xfId="2" applyBorder="1" applyAlignment="1">
      <alignment horizontal="center" vertical="center"/>
    </xf>
    <xf numFmtId="164" fontId="1" fillId="0" borderId="0" xfId="2" applyNumberFormat="1" applyBorder="1" applyAlignment="1">
      <alignment horizontal="center" vertical="center"/>
    </xf>
    <xf numFmtId="164" fontId="1" fillId="0" borderId="5" xfId="2" applyNumberFormat="1" applyBorder="1" applyAlignment="1">
      <alignment horizontal="center" vertical="center"/>
    </xf>
    <xf numFmtId="14" fontId="2" fillId="0" borderId="0" xfId="2" applyNumberFormat="1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 wrapText="1"/>
    </xf>
    <xf numFmtId="0" fontId="2" fillId="0" borderId="15" xfId="2" applyFont="1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1" fillId="0" borderId="4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3" xfId="2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2"/>
    <cellStyle name="Процентный" xfId="1" builtinId="5"/>
  </cellStyles>
  <dxfs count="66">
    <dxf>
      <numFmt numFmtId="34" formatCode="_-* #,##0.00\ &quot;₽&quot;_-;\-* #,##0.00\ &quot;₽&quot;_-;_-* &quot;-&quot;??\ &quot;₽&quot;_-;_-@_-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5" formatCode="_-* #,##0.00\ _₽_-;\-* #,##0.00\ _₽_-;_-* &quot;-&quot;??\ _₽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₽&quot;_-;\-* #,##0.00\ &quot;₽&quot;_-;_-* &quot;-&quot;??\ &quot;₽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#,##0.00\ &quot;₽&quot;"/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numFmt numFmtId="164" formatCode="#,##0.00\ &quot;₽&quot;"/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theme="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697402479862422E-2"/>
          <c:y val="0.1508606489769681"/>
          <c:w val="0.91810719522128703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'1.1'!$B$1:$AG$1</c:f>
              <c:numCache>
                <c:formatCode>0.00</c:formatCode>
                <c:ptCount val="32"/>
                <c:pt idx="0">
                  <c:v>-3.14</c:v>
                </c:pt>
                <c:pt idx="1">
                  <c:v>-2.94</c:v>
                </c:pt>
                <c:pt idx="2">
                  <c:v>-2.7399999999999998</c:v>
                </c:pt>
                <c:pt idx="3">
                  <c:v>-2.5399999999999996</c:v>
                </c:pt>
                <c:pt idx="4">
                  <c:v>-2.3399999999999994</c:v>
                </c:pt>
                <c:pt idx="5">
                  <c:v>-2.1399999999999992</c:v>
                </c:pt>
                <c:pt idx="6">
                  <c:v>-1.9399999999999993</c:v>
                </c:pt>
                <c:pt idx="7">
                  <c:v>-1.7399999999999993</c:v>
                </c:pt>
                <c:pt idx="8">
                  <c:v>-1.5399999999999994</c:v>
                </c:pt>
                <c:pt idx="9">
                  <c:v>-1.3399999999999994</c:v>
                </c:pt>
                <c:pt idx="10">
                  <c:v>-1.1399999999999995</c:v>
                </c:pt>
                <c:pt idx="11">
                  <c:v>-0.9399999999999995</c:v>
                </c:pt>
                <c:pt idx="12">
                  <c:v>-0.73999999999999955</c:v>
                </c:pt>
                <c:pt idx="13">
                  <c:v>-0.53999999999999959</c:v>
                </c:pt>
                <c:pt idx="14">
                  <c:v>-0.33999999999999958</c:v>
                </c:pt>
                <c:pt idx="15">
                  <c:v>-0.13999999999999957</c:v>
                </c:pt>
                <c:pt idx="16">
                  <c:v>6.0000000000000442E-2</c:v>
                </c:pt>
                <c:pt idx="17">
                  <c:v>0.26000000000000045</c:v>
                </c:pt>
                <c:pt idx="18">
                  <c:v>0.46000000000000046</c:v>
                </c:pt>
                <c:pt idx="19">
                  <c:v>0.66000000000000048</c:v>
                </c:pt>
                <c:pt idx="20">
                  <c:v>0.86000000000000054</c:v>
                </c:pt>
                <c:pt idx="21">
                  <c:v>1.0600000000000005</c:v>
                </c:pt>
                <c:pt idx="22">
                  <c:v>1.2600000000000005</c:v>
                </c:pt>
                <c:pt idx="23">
                  <c:v>1.4600000000000004</c:v>
                </c:pt>
                <c:pt idx="24">
                  <c:v>1.6600000000000004</c:v>
                </c:pt>
                <c:pt idx="25">
                  <c:v>1.8600000000000003</c:v>
                </c:pt>
                <c:pt idx="26">
                  <c:v>2.0600000000000005</c:v>
                </c:pt>
                <c:pt idx="27">
                  <c:v>2.2600000000000007</c:v>
                </c:pt>
                <c:pt idx="28">
                  <c:v>2.4600000000000009</c:v>
                </c:pt>
                <c:pt idx="29">
                  <c:v>2.660000000000001</c:v>
                </c:pt>
                <c:pt idx="30">
                  <c:v>2.8600000000000012</c:v>
                </c:pt>
                <c:pt idx="31">
                  <c:v>3.0600000000000014</c:v>
                </c:pt>
              </c:numCache>
            </c:numRef>
          </c:cat>
          <c:val>
            <c:numRef>
              <c:f>'1.1'!$B$2:$AG$2</c:f>
              <c:numCache>
                <c:formatCode>0.00</c:formatCode>
                <c:ptCount val="32"/>
                <c:pt idx="0">
                  <c:v>-1.3281940298618933</c:v>
                </c:pt>
                <c:pt idx="1">
                  <c:v>-5.9682500766741198E-3</c:v>
                </c:pt>
                <c:pt idx="2">
                  <c:v>1.2801038663787812</c:v>
                </c:pt>
                <c:pt idx="3">
                  <c:v>1.1534714168248428</c:v>
                </c:pt>
                <c:pt idx="4">
                  <c:v>-3.1374785358319501E-2</c:v>
                </c:pt>
                <c:pt idx="5">
                  <c:v>-1.1235955722495978</c:v>
                </c:pt>
                <c:pt idx="6">
                  <c:v>-1.3953782036814171</c:v>
                </c:pt>
                <c:pt idx="7">
                  <c:v>-0.87976393226366278</c:v>
                </c:pt>
                <c:pt idx="8">
                  <c:v>-2.1785819144289342E-2</c:v>
                </c:pt>
                <c:pt idx="9">
                  <c:v>0.75192291040880688</c:v>
                </c:pt>
                <c:pt idx="10">
                  <c:v>1.2313353392925139</c:v>
                </c:pt>
                <c:pt idx="11">
                  <c:v>1.407399985173909</c:v>
                </c:pt>
                <c:pt idx="12">
                  <c:v>1.3744161816386586</c:v>
                </c:pt>
                <c:pt idx="13">
                  <c:v>1.245270174228565</c:v>
                </c:pt>
                <c:pt idx="14">
                  <c:v>1.1086684620683414</c:v>
                </c:pt>
                <c:pt idx="15">
                  <c:v>1.0194066712504799</c:v>
                </c:pt>
                <c:pt idx="16">
                  <c:v>1.0035935122310036</c:v>
                </c:pt>
                <c:pt idx="17">
                  <c:v>1.0652645157802181</c:v>
                </c:pt>
                <c:pt idx="18">
                  <c:v>1.1877206089607739</c:v>
                </c:pt>
                <c:pt idx="19">
                  <c:v>1.3285714803425954</c:v>
                </c:pt>
                <c:pt idx="20">
                  <c:v>1.4127306850790609</c:v>
                </c:pt>
                <c:pt idx="21">
                  <c:v>1.3341023314155207</c:v>
                </c:pt>
                <c:pt idx="22">
                  <c:v>0.98305593917962997</c:v>
                </c:pt>
                <c:pt idx="23">
                  <c:v>0.31496099479402007</c:v>
                </c:pt>
                <c:pt idx="24">
                  <c:v>-0.54994623463664527</c:v>
                </c:pt>
                <c:pt idx="25">
                  <c:v>-1.2625347952899182</c:v>
                </c:pt>
                <c:pt idx="26">
                  <c:v>-1.3439223353267062</c:v>
                </c:pt>
                <c:pt idx="27">
                  <c:v>-0.53791239111843114</c:v>
                </c:pt>
                <c:pt idx="28">
                  <c:v>0.74378296050474024</c:v>
                </c:pt>
                <c:pt idx="29">
                  <c:v>1.4141787504575021</c:v>
                </c:pt>
                <c:pt idx="30">
                  <c:v>0.62755837575803386</c:v>
                </c:pt>
                <c:pt idx="31">
                  <c:v>-0.93698940647633167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F-4916-9F0B-84A76266D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615816"/>
        <c:axId val="504616144"/>
      </c:lineChart>
      <c:catAx>
        <c:axId val="50461581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616144"/>
        <c:crosses val="autoZero"/>
        <c:auto val="1"/>
        <c:lblAlgn val="ctr"/>
        <c:lblOffset val="100"/>
        <c:noMultiLvlLbl val="0"/>
      </c:catAx>
      <c:valAx>
        <c:axId val="50461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615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5D-475C-B758-AE9F901CC2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5D-475C-B758-AE9F901CC2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5D-475C-B758-AE9F901CC2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5D-475C-B758-AE9F901CC2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5D-475C-B758-AE9F901CC2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65D-475C-B758-AE9F901CC2A1}"/>
              </c:ext>
            </c:extLst>
          </c:dPt>
          <c:val>
            <c:numRef>
              <c:f>'1.3'!$E$5:$E$10</c:f>
              <c:numCache>
                <c:formatCode>General</c:formatCode>
                <c:ptCount val="6"/>
                <c:pt idx="0">
                  <c:v>26</c:v>
                </c:pt>
                <c:pt idx="1">
                  <c:v>628</c:v>
                </c:pt>
                <c:pt idx="2">
                  <c:v>291</c:v>
                </c:pt>
                <c:pt idx="3">
                  <c:v>422</c:v>
                </c:pt>
                <c:pt idx="4">
                  <c:v>3133</c:v>
                </c:pt>
                <c:pt idx="5">
                  <c:v>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4-46D8-A8DE-D8A1D0C8A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'2.4,5'!$A$12:$A$67</c:f>
              <c:strCache>
                <c:ptCount val="6"/>
                <c:pt idx="0">
                  <c:v>01.03.1996 Итог</c:v>
                </c:pt>
                <c:pt idx="1">
                  <c:v>03.09.1996 Итог</c:v>
                </c:pt>
                <c:pt idx="2">
                  <c:v>01.02.1997 Итог</c:v>
                </c:pt>
                <c:pt idx="3">
                  <c:v>01.05.1997 Итог</c:v>
                </c:pt>
                <c:pt idx="4">
                  <c:v>01.07.1998 Итог</c:v>
                </c:pt>
                <c:pt idx="5">
                  <c:v>01.11.1998 Итог</c:v>
                </c:pt>
              </c:strCache>
            </c:strRef>
          </c:cat>
          <c:val>
            <c:numRef>
              <c:f>'2.4,5'!$G$12:$G$67</c:f>
              <c:numCache>
                <c:formatCode>#\ ##0.00\ "₽"</c:formatCode>
                <c:ptCount val="6"/>
                <c:pt idx="0">
                  <c:v>35066.5</c:v>
                </c:pt>
                <c:pt idx="1">
                  <c:v>33088.5</c:v>
                </c:pt>
                <c:pt idx="2">
                  <c:v>43464.5</c:v>
                </c:pt>
                <c:pt idx="3">
                  <c:v>40235.5</c:v>
                </c:pt>
                <c:pt idx="4">
                  <c:v>43724.5</c:v>
                </c:pt>
                <c:pt idx="5">
                  <c:v>35759.5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CA-4077-BCF0-FE6DBCFC9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263328"/>
        <c:axId val="544267592"/>
      </c:lineChart>
      <c:catAx>
        <c:axId val="54426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4267592"/>
        <c:crosses val="autoZero"/>
        <c:auto val="1"/>
        <c:lblAlgn val="ctr"/>
        <c:lblOffset val="100"/>
        <c:noMultiLvlLbl val="0"/>
      </c:catAx>
      <c:valAx>
        <c:axId val="54426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426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'2.4,5'!$B$78:$B$144</c:f>
              <c:strCache>
                <c:ptCount val="10"/>
                <c:pt idx="0">
                  <c:v>изд1 Итог</c:v>
                </c:pt>
                <c:pt idx="1">
                  <c:v>изд10 Итог</c:v>
                </c:pt>
                <c:pt idx="2">
                  <c:v>изд2 Итог</c:v>
                </c:pt>
                <c:pt idx="3">
                  <c:v>изд3 Итог</c:v>
                </c:pt>
                <c:pt idx="4">
                  <c:v>изд4 Итог</c:v>
                </c:pt>
                <c:pt idx="5">
                  <c:v>изд5 Итог</c:v>
                </c:pt>
                <c:pt idx="6">
                  <c:v>изд6 Итог</c:v>
                </c:pt>
                <c:pt idx="7">
                  <c:v>изд7 Итог</c:v>
                </c:pt>
                <c:pt idx="8">
                  <c:v>изд8 Итог</c:v>
                </c:pt>
                <c:pt idx="9">
                  <c:v>изд9 Итог</c:v>
                </c:pt>
              </c:strCache>
            </c:strRef>
          </c:cat>
          <c:val>
            <c:numRef>
              <c:f>'2.4,5'!$G$78:$G$144</c:f>
              <c:numCache>
                <c:formatCode>#\ ##0.00\ "₽"</c:formatCode>
                <c:ptCount val="10"/>
                <c:pt idx="0">
                  <c:v>14493</c:v>
                </c:pt>
                <c:pt idx="1">
                  <c:v>16782.5</c:v>
                </c:pt>
                <c:pt idx="2">
                  <c:v>23001</c:v>
                </c:pt>
                <c:pt idx="3">
                  <c:v>12742.5</c:v>
                </c:pt>
                <c:pt idx="4">
                  <c:v>36489</c:v>
                </c:pt>
                <c:pt idx="5">
                  <c:v>51798.5</c:v>
                </c:pt>
                <c:pt idx="6">
                  <c:v>31212</c:v>
                </c:pt>
                <c:pt idx="7">
                  <c:v>18256</c:v>
                </c:pt>
                <c:pt idx="8">
                  <c:v>9385</c:v>
                </c:pt>
                <c:pt idx="9">
                  <c:v>17179.5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C-4CB4-934D-9FE7AFCED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919944"/>
        <c:axId val="962916008"/>
      </c:lineChart>
      <c:catAx>
        <c:axId val="96291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916008"/>
        <c:crosses val="autoZero"/>
        <c:auto val="1"/>
        <c:lblAlgn val="ctr"/>
        <c:lblOffset val="100"/>
        <c:noMultiLvlLbl val="0"/>
      </c:catAx>
      <c:valAx>
        <c:axId val="96291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91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[Лабораторная 2.xlsx]3.1!Сводная таблица1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'3.1'!$B$1:$B$3</c:f>
              <c:strCache>
                <c:ptCount val="1"/>
                <c:pt idx="0">
                  <c:v>01.июн - Сумма по полю Сумма, руб.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'3.1'!$B$4:$B$8</c:f>
              <c:numCache>
                <c:formatCode>_(* #,##0.00_);_(* \(#,##0.00\);_(* "-"??_);_(@_)</c:formatCode>
                <c:ptCount val="4"/>
                <c:pt idx="0">
                  <c:v>16210</c:v>
                </c:pt>
                <c:pt idx="1">
                  <c:v>8584.7999999999993</c:v>
                </c:pt>
                <c:pt idx="2">
                  <c:v>6393.4000000000005</c:v>
                </c:pt>
                <c:pt idx="3">
                  <c:v>13234.9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1-4835-AFA3-17FA9BF784CB}"/>
            </c:ext>
          </c:extLst>
        </c:ser>
        <c:ser>
          <c:idx val="1"/>
          <c:order val="1"/>
          <c:tx>
            <c:strRef>
              <c:f>'3.1'!$C$1:$C$3</c:f>
              <c:strCache>
                <c:ptCount val="1"/>
                <c:pt idx="0">
                  <c:v>01.июн - Среднее по полю Сумма, руб.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'3.1'!$C$4:$C$8</c:f>
              <c:numCache>
                <c:formatCode>_(* #,##0.00_);_(* \(#,##0.00\);_(* "-"??_);_(@_)</c:formatCode>
                <c:ptCount val="4"/>
                <c:pt idx="0">
                  <c:v>4052.5</c:v>
                </c:pt>
                <c:pt idx="1">
                  <c:v>8584.7999999999993</c:v>
                </c:pt>
                <c:pt idx="2">
                  <c:v>6393.4000000000005</c:v>
                </c:pt>
                <c:pt idx="3">
                  <c:v>13234.9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1-4835-AFA3-17FA9BF784CB}"/>
            </c:ext>
          </c:extLst>
        </c:ser>
        <c:ser>
          <c:idx val="2"/>
          <c:order val="2"/>
          <c:tx>
            <c:strRef>
              <c:f>'3.1'!$D$1:$D$3</c:f>
              <c:strCache>
                <c:ptCount val="1"/>
                <c:pt idx="0">
                  <c:v>01.июн - Минимум по полю Сумма, руб.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'3.1'!$D$4:$D$8</c:f>
              <c:numCache>
                <c:formatCode>_(* #,##0.00_);_(* \(#,##0.00\);_(* "-"??_);_(@_)</c:formatCode>
                <c:ptCount val="4"/>
                <c:pt idx="0">
                  <c:v>1950</c:v>
                </c:pt>
                <c:pt idx="1">
                  <c:v>8584.7999999999993</c:v>
                </c:pt>
                <c:pt idx="2">
                  <c:v>6393.4000000000005</c:v>
                </c:pt>
                <c:pt idx="3">
                  <c:v>13234.9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1-4835-AFA3-17FA9BF784CB}"/>
            </c:ext>
          </c:extLst>
        </c:ser>
        <c:ser>
          <c:idx val="3"/>
          <c:order val="3"/>
          <c:tx>
            <c:strRef>
              <c:f>'3.1'!$E$1:$E$3</c:f>
              <c:strCache>
                <c:ptCount val="1"/>
                <c:pt idx="0">
                  <c:v>01.июн - Максимум по полю Сумма, руб.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'3.1'!$E$4:$E$8</c:f>
              <c:numCache>
                <c:formatCode>_(* #,##0.00_);_(* \(#,##0.00\);_(* "-"??_);_(@_)</c:formatCode>
                <c:ptCount val="4"/>
                <c:pt idx="0">
                  <c:v>5520</c:v>
                </c:pt>
                <c:pt idx="1">
                  <c:v>8584.7999999999993</c:v>
                </c:pt>
                <c:pt idx="2">
                  <c:v>6393.4000000000005</c:v>
                </c:pt>
                <c:pt idx="3">
                  <c:v>13234.9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1-4835-AFA3-17FA9BF784CB}"/>
            </c:ext>
          </c:extLst>
        </c:ser>
        <c:ser>
          <c:idx val="4"/>
          <c:order val="4"/>
          <c:tx>
            <c:strRef>
              <c:f>'3.1'!$F$1:$F$3</c:f>
              <c:strCache>
                <c:ptCount val="1"/>
                <c:pt idx="0">
                  <c:v>03.июн - Сумма по полю Сумма, руб.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'3.1'!$F$4:$F$8</c:f>
              <c:numCache>
                <c:formatCode>_(* #,##0.00_);_(* \(#,##0.00\);_(* "-"??_);_(@_)</c:formatCode>
                <c:ptCount val="4"/>
                <c:pt idx="0">
                  <c:v>5520</c:v>
                </c:pt>
                <c:pt idx="1">
                  <c:v>14665.699999999999</c:v>
                </c:pt>
                <c:pt idx="2">
                  <c:v>5150.8</c:v>
                </c:pt>
                <c:pt idx="3">
                  <c:v>2503.9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AE1-4835-AFA3-17FA9BF784CB}"/>
            </c:ext>
          </c:extLst>
        </c:ser>
        <c:ser>
          <c:idx val="5"/>
          <c:order val="5"/>
          <c:tx>
            <c:strRef>
              <c:f>'3.1'!$G$1:$G$3</c:f>
              <c:strCache>
                <c:ptCount val="1"/>
                <c:pt idx="0">
                  <c:v>03.июн - Среднее по полю Сумма, руб.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'3.1'!$G$4:$G$8</c:f>
              <c:numCache>
                <c:formatCode>_(* #,##0.00_);_(* \(#,##0.00\);_(* "-"??_);_(@_)</c:formatCode>
                <c:ptCount val="4"/>
                <c:pt idx="0">
                  <c:v>2760</c:v>
                </c:pt>
                <c:pt idx="1">
                  <c:v>14665.699999999999</c:v>
                </c:pt>
                <c:pt idx="2">
                  <c:v>2575.4</c:v>
                </c:pt>
                <c:pt idx="3">
                  <c:v>2503.9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AE1-4835-AFA3-17FA9BF784CB}"/>
            </c:ext>
          </c:extLst>
        </c:ser>
        <c:ser>
          <c:idx val="6"/>
          <c:order val="6"/>
          <c:tx>
            <c:strRef>
              <c:f>'3.1'!$H$1:$H$3</c:f>
              <c:strCache>
                <c:ptCount val="1"/>
                <c:pt idx="0">
                  <c:v>03.июн - Минимум по полю Сумма, руб.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'3.1'!$H$4:$H$8</c:f>
              <c:numCache>
                <c:formatCode>_(* #,##0.00_);_(* \(#,##0.00\);_(* "-"??_);_(@_)</c:formatCode>
                <c:ptCount val="4"/>
                <c:pt idx="0">
                  <c:v>2530</c:v>
                </c:pt>
                <c:pt idx="1">
                  <c:v>14665.699999999999</c:v>
                </c:pt>
                <c:pt idx="2">
                  <c:v>2200</c:v>
                </c:pt>
                <c:pt idx="3">
                  <c:v>2503.9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AE1-4835-AFA3-17FA9BF784CB}"/>
            </c:ext>
          </c:extLst>
        </c:ser>
        <c:ser>
          <c:idx val="7"/>
          <c:order val="7"/>
          <c:tx>
            <c:strRef>
              <c:f>'3.1'!$I$1:$I$3</c:f>
              <c:strCache>
                <c:ptCount val="1"/>
                <c:pt idx="0">
                  <c:v>03.июн - Максимум по полю Сумма, руб.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'3.1'!$I$4:$I$8</c:f>
              <c:numCache>
                <c:formatCode>_(* #,##0.00_);_(* \(#,##0.00\);_(* "-"??_);_(@_)</c:formatCode>
                <c:ptCount val="4"/>
                <c:pt idx="0">
                  <c:v>2990</c:v>
                </c:pt>
                <c:pt idx="1">
                  <c:v>14665.699999999999</c:v>
                </c:pt>
                <c:pt idx="2">
                  <c:v>2950.8</c:v>
                </c:pt>
                <c:pt idx="3">
                  <c:v>2503.9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AE1-4835-AFA3-17FA9BF784CB}"/>
            </c:ext>
          </c:extLst>
        </c:ser>
        <c:ser>
          <c:idx val="8"/>
          <c:order val="8"/>
          <c:tx>
            <c:strRef>
              <c:f>'3.1'!$J$1:$J$3</c:f>
              <c:strCache>
                <c:ptCount val="1"/>
                <c:pt idx="0">
                  <c:v>02.июл - Сумма по полю Сумма, руб.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'3.1'!$J$4:$J$8</c:f>
              <c:numCache>
                <c:formatCode>_(* #,##0.00_);_(* \(#,##0.00\);_(* "-"??_);_(@_)</c:formatCode>
                <c:ptCount val="4"/>
                <c:pt idx="0">
                  <c:v>15410</c:v>
                </c:pt>
                <c:pt idx="1">
                  <c:v>7154</c:v>
                </c:pt>
                <c:pt idx="2">
                  <c:v>5901.6</c:v>
                </c:pt>
                <c:pt idx="3">
                  <c:v>5007.7999999999993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AE1-4835-AFA3-17FA9BF784CB}"/>
            </c:ext>
          </c:extLst>
        </c:ser>
        <c:ser>
          <c:idx val="9"/>
          <c:order val="9"/>
          <c:tx>
            <c:strRef>
              <c:f>'3.1'!$K$1:$K$3</c:f>
              <c:strCache>
                <c:ptCount val="1"/>
                <c:pt idx="0">
                  <c:v>02.июл - Среднее по полю Сумма, руб.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'3.1'!$K$4:$K$8</c:f>
              <c:numCache>
                <c:formatCode>_(* #,##0.00_);_(* \(#,##0.00\);_(* "-"??_);_(@_)</c:formatCode>
                <c:ptCount val="4"/>
                <c:pt idx="0">
                  <c:v>7705</c:v>
                </c:pt>
                <c:pt idx="1">
                  <c:v>7154</c:v>
                </c:pt>
                <c:pt idx="2">
                  <c:v>5901.6</c:v>
                </c:pt>
                <c:pt idx="3">
                  <c:v>2503.8999999999996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AE1-4835-AFA3-17FA9BF784CB}"/>
            </c:ext>
          </c:extLst>
        </c:ser>
        <c:ser>
          <c:idx val="10"/>
          <c:order val="10"/>
          <c:tx>
            <c:strRef>
              <c:f>'3.1'!$L$1:$L$3</c:f>
              <c:strCache>
                <c:ptCount val="1"/>
                <c:pt idx="0">
                  <c:v>02.июл - Минимум по полю Сумма, руб.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'3.1'!$L$4:$L$8</c:f>
              <c:numCache>
                <c:formatCode>_(* #,##0.00_);_(* \(#,##0.00\);_(* "-"??_);_(@_)</c:formatCode>
                <c:ptCount val="4"/>
                <c:pt idx="0">
                  <c:v>5060</c:v>
                </c:pt>
                <c:pt idx="1">
                  <c:v>7154</c:v>
                </c:pt>
                <c:pt idx="2">
                  <c:v>5901.6</c:v>
                </c:pt>
                <c:pt idx="3">
                  <c:v>1788.5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AE1-4835-AFA3-17FA9BF784CB}"/>
            </c:ext>
          </c:extLst>
        </c:ser>
        <c:ser>
          <c:idx val="11"/>
          <c:order val="11"/>
          <c:tx>
            <c:strRef>
              <c:f>'3.1'!$M$1:$M$3</c:f>
              <c:strCache>
                <c:ptCount val="1"/>
                <c:pt idx="0">
                  <c:v>02.июл - Максимум по полю Сумма, руб.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'3.1'!$M$4:$M$8</c:f>
              <c:numCache>
                <c:formatCode>_(* #,##0.00_);_(* \(#,##0.00\);_(* "-"??_);_(@_)</c:formatCode>
                <c:ptCount val="4"/>
                <c:pt idx="0">
                  <c:v>10350</c:v>
                </c:pt>
                <c:pt idx="1">
                  <c:v>7154</c:v>
                </c:pt>
                <c:pt idx="2">
                  <c:v>5901.6</c:v>
                </c:pt>
                <c:pt idx="3">
                  <c:v>3219.2999999999997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AE1-4835-AFA3-17FA9BF784CB}"/>
            </c:ext>
          </c:extLst>
        </c:ser>
        <c:ser>
          <c:idx val="12"/>
          <c:order val="12"/>
          <c:tx>
            <c:strRef>
              <c:f>'3.1'!$N$1:$N$3</c:f>
              <c:strCache>
                <c:ptCount val="1"/>
                <c:pt idx="0">
                  <c:v>04.июл - Сумма по полю Сумма, руб.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'3.1'!$N$4:$N$8</c:f>
              <c:numCache>
                <c:formatCode>_(* #,##0.00_);_(* \(#,##0.00\);_(* "-"??_);_(@_)</c:formatCode>
                <c:ptCount val="4"/>
                <c:pt idx="0">
                  <c:v>20700</c:v>
                </c:pt>
                <c:pt idx="1">
                  <c:v>14254.5</c:v>
                </c:pt>
                <c:pt idx="2">
                  <c:v>6639.3</c:v>
                </c:pt>
                <c:pt idx="3">
                  <c:v>9657.9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AE1-4835-AFA3-17FA9BF784CB}"/>
            </c:ext>
          </c:extLst>
        </c:ser>
        <c:ser>
          <c:idx val="13"/>
          <c:order val="13"/>
          <c:tx>
            <c:strRef>
              <c:f>'3.1'!$O$1:$O$3</c:f>
              <c:strCache>
                <c:ptCount val="1"/>
                <c:pt idx="0">
                  <c:v>04.июл - Среднее по полю Сумма, руб.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'3.1'!$O$4:$O$8</c:f>
              <c:numCache>
                <c:formatCode>_(* #,##0.00_);_(* \(#,##0.00\);_(* "-"??_);_(@_)</c:formatCode>
                <c:ptCount val="4"/>
                <c:pt idx="0">
                  <c:v>10350</c:v>
                </c:pt>
                <c:pt idx="1">
                  <c:v>7127.25</c:v>
                </c:pt>
                <c:pt idx="2">
                  <c:v>6639.3</c:v>
                </c:pt>
                <c:pt idx="3">
                  <c:v>9657.9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AE1-4835-AFA3-17FA9BF784CB}"/>
            </c:ext>
          </c:extLst>
        </c:ser>
        <c:ser>
          <c:idx val="14"/>
          <c:order val="14"/>
          <c:tx>
            <c:strRef>
              <c:f>'3.1'!$P$1:$P$3</c:f>
              <c:strCache>
                <c:ptCount val="1"/>
                <c:pt idx="0">
                  <c:v>04.июл - Минимум по полю Сумма, руб.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'3.1'!$P$4:$P$8</c:f>
              <c:numCache>
                <c:formatCode>_(* #,##0.00_);_(* \(#,##0.00\);_(* "-"??_);_(@_)</c:formatCode>
                <c:ptCount val="4"/>
                <c:pt idx="0">
                  <c:v>9660</c:v>
                </c:pt>
                <c:pt idx="1">
                  <c:v>1735</c:v>
                </c:pt>
                <c:pt idx="2">
                  <c:v>6639.3</c:v>
                </c:pt>
                <c:pt idx="3">
                  <c:v>9657.9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AE1-4835-AFA3-17FA9BF784CB}"/>
            </c:ext>
          </c:extLst>
        </c:ser>
        <c:ser>
          <c:idx val="15"/>
          <c:order val="15"/>
          <c:tx>
            <c:strRef>
              <c:f>'3.1'!$Q$1:$Q$3</c:f>
              <c:strCache>
                <c:ptCount val="1"/>
                <c:pt idx="0">
                  <c:v>04.июл - Максимум по полю Сумма, руб.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'3.1'!$A$4:$A$8</c:f>
              <c:strCache>
                <c:ptCount val="4"/>
                <c:pt idx="0">
                  <c:v>Изготовление дверей</c:v>
                </c:pt>
                <c:pt idx="1">
                  <c:v>Изготовление фундамента</c:v>
                </c:pt>
                <c:pt idx="2">
                  <c:v>Кровельные работы</c:v>
                </c:pt>
                <c:pt idx="3">
                  <c:v>Пиломатериалы</c:v>
                </c:pt>
              </c:strCache>
            </c:strRef>
          </c:cat>
          <c:val>
            <c:numRef>
              <c:f>'3.1'!$Q$4:$Q$8</c:f>
              <c:numCache>
                <c:formatCode>_(* #,##0.00_);_(* \(#,##0.00\);_(* "-"??_);_(@_)</c:formatCode>
                <c:ptCount val="4"/>
                <c:pt idx="0">
                  <c:v>11040</c:v>
                </c:pt>
                <c:pt idx="1">
                  <c:v>12519.5</c:v>
                </c:pt>
                <c:pt idx="2">
                  <c:v>6639.3</c:v>
                </c:pt>
                <c:pt idx="3">
                  <c:v>9657.9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AE1-4835-AFA3-17FA9BF78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445896"/>
        <c:axId val="990445240"/>
      </c:barChart>
      <c:catAx>
        <c:axId val="99044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0445240"/>
        <c:crosses val="autoZero"/>
        <c:auto val="1"/>
        <c:lblAlgn val="ctr"/>
        <c:lblOffset val="100"/>
        <c:noMultiLvlLbl val="0"/>
      </c:catAx>
      <c:valAx>
        <c:axId val="99044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044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[Лабораторная 2.xlsx]3.2!Сводная таблица2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'3.2'!$B$1:$B$2</c:f>
              <c:strCache>
                <c:ptCount val="1"/>
                <c:pt idx="0">
                  <c:v>01.июн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'3.2'!$A$3:$A$22</c:f>
              <c:multiLvlStrCache>
                <c:ptCount val="15"/>
                <c:lvl>
                  <c:pt idx="0">
                    <c:v>Изготовление дверей</c:v>
                  </c:pt>
                  <c:pt idx="1">
                    <c:v>Изготовление фундамента</c:v>
                  </c:pt>
                  <c:pt idx="2">
                    <c:v>Кровельные работы</c:v>
                  </c:pt>
                  <c:pt idx="3">
                    <c:v>Пиломатериалы</c:v>
                  </c:pt>
                  <c:pt idx="4">
                    <c:v>Изготовление дверей</c:v>
                  </c:pt>
                  <c:pt idx="5">
                    <c:v>Изготовление фундамента</c:v>
                  </c:pt>
                  <c:pt idx="6">
                    <c:v>Кровельные работы</c:v>
                  </c:pt>
                  <c:pt idx="7">
                    <c:v>Пиломатериалы</c:v>
                  </c:pt>
                  <c:pt idx="8">
                    <c:v>Изготовление дверей</c:v>
                  </c:pt>
                  <c:pt idx="9">
                    <c:v>Кровельные работы</c:v>
                  </c:pt>
                  <c:pt idx="10">
                    <c:v>Пиломатериалы</c:v>
                  </c:pt>
                  <c:pt idx="11">
                    <c:v>Изготовление дверей</c:v>
                  </c:pt>
                  <c:pt idx="12">
                    <c:v>Изготовление фундамента</c:v>
                  </c:pt>
                  <c:pt idx="13">
                    <c:v>Кровельные работы</c:v>
                  </c:pt>
                  <c:pt idx="14">
                    <c:v>Пиломатериалы</c:v>
                  </c:pt>
                </c:lvl>
                <c:lvl>
                  <c:pt idx="0">
                    <c:v>Медик</c:v>
                  </c:pt>
                  <c:pt idx="4">
                    <c:v>Приват</c:v>
                  </c:pt>
                  <c:pt idx="8">
                    <c:v>Проект-М</c:v>
                  </c:pt>
                  <c:pt idx="11">
                    <c:v>Сервис</c:v>
                  </c:pt>
                </c:lvl>
              </c:multiLvlStrCache>
            </c:multiLvlStrRef>
          </c:cat>
          <c:val>
            <c:numRef>
              <c:f>'3.2'!$B$3:$B$22</c:f>
              <c:numCache>
                <c:formatCode>_("₽"* #,##0.00_);_("₽"* \(#,##0.00\);_("₽"* "-"??_);_(@_)</c:formatCode>
                <c:ptCount val="15"/>
                <c:pt idx="0">
                  <c:v>5520</c:v>
                </c:pt>
                <c:pt idx="1">
                  <c:v>8584.7999999999993</c:v>
                </c:pt>
                <c:pt idx="4">
                  <c:v>6550</c:v>
                </c:pt>
                <c:pt idx="10">
                  <c:v>13234.9</c:v>
                </c:pt>
                <c:pt idx="11">
                  <c:v>4140</c:v>
                </c:pt>
                <c:pt idx="13">
                  <c:v>6393.4000000000005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3-45BC-9209-321F82B893B3}"/>
            </c:ext>
          </c:extLst>
        </c:ser>
        <c:ser>
          <c:idx val="1"/>
          <c:order val="1"/>
          <c:tx>
            <c:strRef>
              <c:f>'3.2'!$C$1:$C$2</c:f>
              <c:strCache>
                <c:ptCount val="1"/>
                <c:pt idx="0">
                  <c:v>03.июн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'3.2'!$A$3:$A$22</c:f>
              <c:multiLvlStrCache>
                <c:ptCount val="15"/>
                <c:lvl>
                  <c:pt idx="0">
                    <c:v>Изготовление дверей</c:v>
                  </c:pt>
                  <c:pt idx="1">
                    <c:v>Изготовление фундамента</c:v>
                  </c:pt>
                  <c:pt idx="2">
                    <c:v>Кровельные работы</c:v>
                  </c:pt>
                  <c:pt idx="3">
                    <c:v>Пиломатериалы</c:v>
                  </c:pt>
                  <c:pt idx="4">
                    <c:v>Изготовление дверей</c:v>
                  </c:pt>
                  <c:pt idx="5">
                    <c:v>Изготовление фундамента</c:v>
                  </c:pt>
                  <c:pt idx="6">
                    <c:v>Кровельные работы</c:v>
                  </c:pt>
                  <c:pt idx="7">
                    <c:v>Пиломатериалы</c:v>
                  </c:pt>
                  <c:pt idx="8">
                    <c:v>Изготовление дверей</c:v>
                  </c:pt>
                  <c:pt idx="9">
                    <c:v>Кровельные работы</c:v>
                  </c:pt>
                  <c:pt idx="10">
                    <c:v>Пиломатериалы</c:v>
                  </c:pt>
                  <c:pt idx="11">
                    <c:v>Изготовление дверей</c:v>
                  </c:pt>
                  <c:pt idx="12">
                    <c:v>Изготовление фундамента</c:v>
                  </c:pt>
                  <c:pt idx="13">
                    <c:v>Кровельные работы</c:v>
                  </c:pt>
                  <c:pt idx="14">
                    <c:v>Пиломатериалы</c:v>
                  </c:pt>
                </c:lvl>
                <c:lvl>
                  <c:pt idx="0">
                    <c:v>Медик</c:v>
                  </c:pt>
                  <c:pt idx="4">
                    <c:v>Приват</c:v>
                  </c:pt>
                  <c:pt idx="8">
                    <c:v>Проект-М</c:v>
                  </c:pt>
                  <c:pt idx="11">
                    <c:v>Сервис</c:v>
                  </c:pt>
                </c:lvl>
              </c:multiLvlStrCache>
            </c:multiLvlStrRef>
          </c:cat>
          <c:val>
            <c:numRef>
              <c:f>'3.2'!$C$3:$C$22</c:f>
              <c:numCache>
                <c:formatCode>_("₽"* #,##0.00_);_("₽"* \(#,##0.00\);_("₽"* "-"??_);_(@_)</c:formatCode>
                <c:ptCount val="15"/>
                <c:pt idx="2">
                  <c:v>2950.8</c:v>
                </c:pt>
                <c:pt idx="4">
                  <c:v>2990</c:v>
                </c:pt>
                <c:pt idx="6">
                  <c:v>2200</c:v>
                </c:pt>
                <c:pt idx="8">
                  <c:v>2530</c:v>
                </c:pt>
                <c:pt idx="12">
                  <c:v>14665.699999999999</c:v>
                </c:pt>
                <c:pt idx="14">
                  <c:v>2503.9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B3-45BC-9209-321F82B893B3}"/>
            </c:ext>
          </c:extLst>
        </c:ser>
        <c:ser>
          <c:idx val="2"/>
          <c:order val="2"/>
          <c:tx>
            <c:strRef>
              <c:f>'3.2'!$D$1:$D$2</c:f>
              <c:strCache>
                <c:ptCount val="1"/>
                <c:pt idx="0">
                  <c:v>02.июл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'3.2'!$A$3:$A$22</c:f>
              <c:multiLvlStrCache>
                <c:ptCount val="15"/>
                <c:lvl>
                  <c:pt idx="0">
                    <c:v>Изготовление дверей</c:v>
                  </c:pt>
                  <c:pt idx="1">
                    <c:v>Изготовление фундамента</c:v>
                  </c:pt>
                  <c:pt idx="2">
                    <c:v>Кровельные работы</c:v>
                  </c:pt>
                  <c:pt idx="3">
                    <c:v>Пиломатериалы</c:v>
                  </c:pt>
                  <c:pt idx="4">
                    <c:v>Изготовление дверей</c:v>
                  </c:pt>
                  <c:pt idx="5">
                    <c:v>Изготовление фундамента</c:v>
                  </c:pt>
                  <c:pt idx="6">
                    <c:v>Кровельные работы</c:v>
                  </c:pt>
                  <c:pt idx="7">
                    <c:v>Пиломатериалы</c:v>
                  </c:pt>
                  <c:pt idx="8">
                    <c:v>Изготовление дверей</c:v>
                  </c:pt>
                  <c:pt idx="9">
                    <c:v>Кровельные работы</c:v>
                  </c:pt>
                  <c:pt idx="10">
                    <c:v>Пиломатериалы</c:v>
                  </c:pt>
                  <c:pt idx="11">
                    <c:v>Изготовление дверей</c:v>
                  </c:pt>
                  <c:pt idx="12">
                    <c:v>Изготовление фундамента</c:v>
                  </c:pt>
                  <c:pt idx="13">
                    <c:v>Кровельные работы</c:v>
                  </c:pt>
                  <c:pt idx="14">
                    <c:v>Пиломатериалы</c:v>
                  </c:pt>
                </c:lvl>
                <c:lvl>
                  <c:pt idx="0">
                    <c:v>Медик</c:v>
                  </c:pt>
                  <c:pt idx="4">
                    <c:v>Приват</c:v>
                  </c:pt>
                  <c:pt idx="8">
                    <c:v>Проект-М</c:v>
                  </c:pt>
                  <c:pt idx="11">
                    <c:v>Сервис</c:v>
                  </c:pt>
                </c:lvl>
              </c:multiLvlStrCache>
            </c:multiLvlStrRef>
          </c:cat>
          <c:val>
            <c:numRef>
              <c:f>'3.2'!$D$3:$D$22</c:f>
              <c:numCache>
                <c:formatCode>_("₽"* #,##0.00_);_("₽"* \(#,##0.00\);_("₽"* "-"??_);_(@_)</c:formatCode>
                <c:ptCount val="15"/>
                <c:pt idx="0">
                  <c:v>15410</c:v>
                </c:pt>
                <c:pt idx="5">
                  <c:v>7154</c:v>
                </c:pt>
                <c:pt idx="7">
                  <c:v>3219.2999999999997</c:v>
                </c:pt>
                <c:pt idx="13">
                  <c:v>5901.6</c:v>
                </c:pt>
                <c:pt idx="14">
                  <c:v>1788.5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B3-45BC-9209-321F82B893B3}"/>
            </c:ext>
          </c:extLst>
        </c:ser>
        <c:ser>
          <c:idx val="3"/>
          <c:order val="3"/>
          <c:tx>
            <c:strRef>
              <c:f>'3.2'!$E$1:$E$2</c:f>
              <c:strCache>
                <c:ptCount val="1"/>
                <c:pt idx="0">
                  <c:v>04.июл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'3.2'!$A$3:$A$22</c:f>
              <c:multiLvlStrCache>
                <c:ptCount val="15"/>
                <c:lvl>
                  <c:pt idx="0">
                    <c:v>Изготовление дверей</c:v>
                  </c:pt>
                  <c:pt idx="1">
                    <c:v>Изготовление фундамента</c:v>
                  </c:pt>
                  <c:pt idx="2">
                    <c:v>Кровельные работы</c:v>
                  </c:pt>
                  <c:pt idx="3">
                    <c:v>Пиломатериалы</c:v>
                  </c:pt>
                  <c:pt idx="4">
                    <c:v>Изготовление дверей</c:v>
                  </c:pt>
                  <c:pt idx="5">
                    <c:v>Изготовление фундамента</c:v>
                  </c:pt>
                  <c:pt idx="6">
                    <c:v>Кровельные работы</c:v>
                  </c:pt>
                  <c:pt idx="7">
                    <c:v>Пиломатериалы</c:v>
                  </c:pt>
                  <c:pt idx="8">
                    <c:v>Изготовление дверей</c:v>
                  </c:pt>
                  <c:pt idx="9">
                    <c:v>Кровельные работы</c:v>
                  </c:pt>
                  <c:pt idx="10">
                    <c:v>Пиломатериалы</c:v>
                  </c:pt>
                  <c:pt idx="11">
                    <c:v>Изготовление дверей</c:v>
                  </c:pt>
                  <c:pt idx="12">
                    <c:v>Изготовление фундамента</c:v>
                  </c:pt>
                  <c:pt idx="13">
                    <c:v>Кровельные работы</c:v>
                  </c:pt>
                  <c:pt idx="14">
                    <c:v>Пиломатериалы</c:v>
                  </c:pt>
                </c:lvl>
                <c:lvl>
                  <c:pt idx="0">
                    <c:v>Медик</c:v>
                  </c:pt>
                  <c:pt idx="4">
                    <c:v>Приват</c:v>
                  </c:pt>
                  <c:pt idx="8">
                    <c:v>Проект-М</c:v>
                  </c:pt>
                  <c:pt idx="11">
                    <c:v>Сервис</c:v>
                  </c:pt>
                </c:lvl>
              </c:multiLvlStrCache>
            </c:multiLvlStrRef>
          </c:cat>
          <c:val>
            <c:numRef>
              <c:f>'3.2'!$E$3:$E$22</c:f>
              <c:numCache>
                <c:formatCode>_("₽"* #,##0.00_);_("₽"* \(#,##0.00\);_("₽"* "-"??_);_(@_)</c:formatCode>
                <c:ptCount val="15"/>
                <c:pt idx="1">
                  <c:v>12519.5</c:v>
                </c:pt>
                <c:pt idx="3">
                  <c:v>9657.9</c:v>
                </c:pt>
                <c:pt idx="4">
                  <c:v>9660</c:v>
                </c:pt>
                <c:pt idx="5">
                  <c:v>1735</c:v>
                </c:pt>
                <c:pt idx="9">
                  <c:v>6639.3</c:v>
                </c:pt>
                <c:pt idx="11">
                  <c:v>11040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FB3-45BC-9209-321F82B89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445048"/>
        <c:axId val="1052445376"/>
      </c:barChart>
      <c:catAx>
        <c:axId val="1052445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2445376"/>
        <c:crosses val="autoZero"/>
        <c:auto val="1"/>
        <c:lblAlgn val="ctr"/>
        <c:lblOffset val="100"/>
        <c:noMultiLvlLbl val="0"/>
      </c:catAx>
      <c:valAx>
        <c:axId val="10524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₽&quot;* #,##0.00_);_(&quot;₽&quot;* \(#,##0.00\);_(&quot;₽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244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3</xdr:row>
      <xdr:rowOff>176212</xdr:rowOff>
    </xdr:from>
    <xdr:to>
      <xdr:col>23</xdr:col>
      <xdr:colOff>76199</xdr:colOff>
      <xdr:row>24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BB9FE2C-F7DE-48F0-B0DD-712630C9F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566352</xdr:colOff>
      <xdr:row>6</xdr:row>
      <xdr:rowOff>95765</xdr:rowOff>
    </xdr:from>
    <xdr:to>
      <xdr:col>11</xdr:col>
      <xdr:colOff>772298</xdr:colOff>
      <xdr:row>10</xdr:row>
      <xdr:rowOff>326424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180974</xdr:colOff>
      <xdr:row>0</xdr:row>
      <xdr:rowOff>0</xdr:rowOff>
    </xdr:from>
    <xdr:to>
      <xdr:col>20</xdr:col>
      <xdr:colOff>266699</xdr:colOff>
      <xdr:row>71</xdr:row>
      <xdr:rowOff>85724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33FE649-687C-4DBC-9A23-70637770E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180975</xdr:colOff>
      <xdr:row>72</xdr:row>
      <xdr:rowOff>4762</xdr:rowOff>
    </xdr:from>
    <xdr:to>
      <xdr:col>20</xdr:col>
      <xdr:colOff>276225</xdr:colOff>
      <xdr:row>144</xdr:row>
      <xdr:rowOff>180975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25A6471-EE28-4778-8A5F-A431052D5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10</xdr:row>
      <xdr:rowOff>19050</xdr:rowOff>
    </xdr:from>
    <xdr:to>
      <xdr:col>1</xdr:col>
      <xdr:colOff>895350</xdr:colOff>
      <xdr:row>23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Дата 1">
              <a:extLst>
                <a:ext uri="{FF2B5EF4-FFF2-40B4-BE49-F238E27FC236}">
                  <a16:creationId xmlns:a16="http://schemas.microsoft.com/office/drawing/2014/main" id="{C0C11F8B-24F7-417A-9931-B1C3D4E4F2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ата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5" y="32575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628650</xdr:colOff>
      <xdr:row>10</xdr:row>
      <xdr:rowOff>9525</xdr:rowOff>
    </xdr:from>
    <xdr:to>
      <xdr:col>4</xdr:col>
      <xdr:colOff>666750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Наименование фирмы 1">
              <a:extLst>
                <a:ext uri="{FF2B5EF4-FFF2-40B4-BE49-F238E27FC236}">
                  <a16:creationId xmlns:a16="http://schemas.microsoft.com/office/drawing/2014/main" id="{9B4ADAFC-FC3D-44EB-A968-1AE487A941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именование фирмы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6625" y="3248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1028700</xdr:colOff>
      <xdr:row>10</xdr:row>
      <xdr:rowOff>9525</xdr:rowOff>
    </xdr:from>
    <xdr:to>
      <xdr:col>6</xdr:col>
      <xdr:colOff>628650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Наименование товара 1">
              <a:extLst>
                <a:ext uri="{FF2B5EF4-FFF2-40B4-BE49-F238E27FC236}">
                  <a16:creationId xmlns:a16="http://schemas.microsoft.com/office/drawing/2014/main" id="{46094C7B-CEA2-4C19-8497-97D3895564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именование товара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67375" y="3248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228599</xdr:colOff>
      <xdr:row>25</xdr:row>
      <xdr:rowOff>23811</xdr:rowOff>
    </xdr:from>
    <xdr:to>
      <xdr:col>10</xdr:col>
      <xdr:colOff>466725</xdr:colOff>
      <xdr:row>45</xdr:row>
      <xdr:rowOff>57150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50A0683-1F23-426F-A6AA-B054B8021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24</xdr:row>
      <xdr:rowOff>0</xdr:rowOff>
    </xdr:from>
    <xdr:to>
      <xdr:col>1</xdr:col>
      <xdr:colOff>57150</xdr:colOff>
      <xdr:row>37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Дата">
              <a:extLst>
                <a:ext uri="{FF2B5EF4-FFF2-40B4-BE49-F238E27FC236}">
                  <a16:creationId xmlns:a16="http://schemas.microsoft.com/office/drawing/2014/main" id="{18CB54ED-8EEA-47E3-B00F-8D87793FA3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ат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50" y="4762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266700</xdr:colOff>
      <xdr:row>24</xdr:row>
      <xdr:rowOff>0</xdr:rowOff>
    </xdr:from>
    <xdr:to>
      <xdr:col>3</xdr:col>
      <xdr:colOff>316119</xdr:colOff>
      <xdr:row>37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Наименование фирмы">
              <a:extLst>
                <a:ext uri="{FF2B5EF4-FFF2-40B4-BE49-F238E27FC236}">
                  <a16:creationId xmlns:a16="http://schemas.microsoft.com/office/drawing/2014/main" id="{30A3842B-5ABA-45D2-85F2-6B3C46AA66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именование фирмы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7900" y="4762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361950</xdr:colOff>
      <xdr:row>24</xdr:row>
      <xdr:rowOff>9525</xdr:rowOff>
    </xdr:from>
    <xdr:to>
      <xdr:col>6</xdr:col>
      <xdr:colOff>400741</xdr:colOff>
      <xdr:row>37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Наименование товара">
              <a:extLst>
                <a:ext uri="{FF2B5EF4-FFF2-40B4-BE49-F238E27FC236}">
                  <a16:creationId xmlns:a16="http://schemas.microsoft.com/office/drawing/2014/main" id="{D190BE2E-35C9-4AF7-AD71-B44C318D69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именование товар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3400" y="4772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8</xdr:col>
      <xdr:colOff>266699</xdr:colOff>
      <xdr:row>0</xdr:row>
      <xdr:rowOff>366712</xdr:rowOff>
    </xdr:from>
    <xdr:to>
      <xdr:col>24</xdr:col>
      <xdr:colOff>419100</xdr:colOff>
      <xdr:row>20</xdr:row>
      <xdr:rowOff>180976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E615AE6-F63D-44AF-A0B1-6B1AF294F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Кири4" refreshedDate="45267.065087037037" createdVersion="7" refreshedVersion="7" minRefreshableVersion="3" recordCount="25">
  <cacheSource type="worksheet">
    <worksheetSource name="Таблица1"/>
  </cacheSource>
  <cacheFields count="8">
    <cacheField name="Дата" numFmtId="14">
      <sharedItems containsSemiMixedTypes="0" containsNonDate="0" containsDate="1" containsString="0" minDate="2023-06-01T00:00:00" maxDate="2023-07-05T00:00:00" count="4">
        <d v="2023-06-01T00:00:00"/>
        <d v="2023-07-02T00:00:00"/>
        <d v="2023-07-04T00:00:00"/>
        <d v="2023-06-03T00:00:00"/>
      </sharedItems>
      <fieldGroup par="7" base="0">
        <rangePr groupBy="days" startDate="2023-06-01T00:00:00" endDate="2023-07-05T00:00:00"/>
        <groupItems count="368">
          <s v="&lt;01.06.2023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5.07.2023"/>
        </groupItems>
      </fieldGroup>
    </cacheField>
    <cacheField name="Наименование фирмы" numFmtId="0">
      <sharedItems count="4">
        <s v="Приват"/>
        <s v="Медик"/>
        <s v="Сервис"/>
        <s v="Проект-М"/>
      </sharedItems>
    </cacheField>
    <cacheField name="Код фирмы" numFmtId="0">
      <sharedItems containsSemiMixedTypes="0" containsString="0" containsNumber="1" containsInteger="1" minValue="4" maxValue="7" count="4">
        <n v="4"/>
        <n v="5"/>
        <n v="6"/>
        <n v="7"/>
      </sharedItems>
    </cacheField>
    <cacheField name="Наименование товара" numFmtId="0">
      <sharedItems count="4">
        <s v="Изготовление дверей"/>
        <s v="Пиломатериалы"/>
        <s v="Изготовление фундамента"/>
        <s v="Кровельные работы"/>
      </sharedItems>
    </cacheField>
    <cacheField name="Количество" numFmtId="0">
      <sharedItems containsSemiMixedTypes="0" containsString="0" containsNumber="1" containsInteger="1" minValue="5" maxValue="48" count="20">
        <n v="20"/>
        <n v="9"/>
        <n v="15"/>
        <n v="5"/>
        <n v="10"/>
        <n v="45"/>
        <n v="7"/>
        <n v="42"/>
        <n v="24"/>
        <n v="13"/>
        <n v="27"/>
        <n v="18"/>
        <n v="12"/>
        <n v="48"/>
        <n v="37"/>
        <n v="22"/>
        <n v="41"/>
        <n v="11"/>
        <n v="35"/>
        <n v="26"/>
      </sharedItems>
    </cacheField>
    <cacheField name="Цена, руб." numFmtId="164">
      <sharedItems containsSemiMixedTypes="0" containsString="0" containsNumber="1" minValue="130" maxValue="357.7"/>
    </cacheField>
    <cacheField name="Сумма, руб." numFmtId="164">
      <sharedItems containsSemiMixedTypes="0" containsString="0" containsNumber="1" minValue="1735" maxValue="14665.699999999999"/>
    </cacheField>
    <cacheField name="Месяцы" numFmtId="0" databaseField="0">
      <fieldGroup base="0">
        <rangePr groupBy="months" startDate="2023-06-01T00:00:00" endDate="2023-07-05T00:00:00"/>
        <groupItems count="14">
          <s v="&lt;01.06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5.07.2023"/>
        </groupItems>
      </fieldGroup>
    </cacheField>
  </cacheFields>
  <extLst>
    <ext xmlns:x14="http://schemas.microsoft.com/office/spreadsheetml/2009/9/main" uri="{725AE2AE-9491-48be-B2B4-4EB974FC3084}">
      <x14:pivotCacheDefinition pivotCacheId="8444160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  <x v="0"/>
    <x v="0"/>
    <n v="230"/>
    <n v="4600"/>
  </r>
  <r>
    <x v="1"/>
    <x v="0"/>
    <x v="0"/>
    <x v="1"/>
    <x v="1"/>
    <n v="357.7"/>
    <n v="3219.2999999999997"/>
  </r>
  <r>
    <x v="0"/>
    <x v="0"/>
    <x v="0"/>
    <x v="0"/>
    <x v="2"/>
    <n v="130"/>
    <n v="1950"/>
  </r>
  <r>
    <x v="2"/>
    <x v="0"/>
    <x v="0"/>
    <x v="2"/>
    <x v="3"/>
    <n v="347"/>
    <n v="1735"/>
  </r>
  <r>
    <x v="3"/>
    <x v="0"/>
    <x v="0"/>
    <x v="3"/>
    <x v="4"/>
    <n v="220"/>
    <n v="2200"/>
  </r>
  <r>
    <x v="1"/>
    <x v="1"/>
    <x v="1"/>
    <x v="0"/>
    <x v="5"/>
    <n v="230"/>
    <n v="10350"/>
  </r>
  <r>
    <x v="3"/>
    <x v="2"/>
    <x v="2"/>
    <x v="1"/>
    <x v="6"/>
    <n v="357.7"/>
    <n v="2503.9"/>
  </r>
  <r>
    <x v="2"/>
    <x v="0"/>
    <x v="0"/>
    <x v="0"/>
    <x v="7"/>
    <n v="230"/>
    <n v="9660"/>
  </r>
  <r>
    <x v="0"/>
    <x v="1"/>
    <x v="1"/>
    <x v="2"/>
    <x v="8"/>
    <n v="357.7"/>
    <n v="8584.7999999999993"/>
  </r>
  <r>
    <x v="1"/>
    <x v="2"/>
    <x v="2"/>
    <x v="3"/>
    <x v="8"/>
    <n v="245.9"/>
    <n v="5901.6"/>
  </r>
  <r>
    <x v="3"/>
    <x v="0"/>
    <x v="0"/>
    <x v="0"/>
    <x v="9"/>
    <n v="230"/>
    <n v="2990"/>
  </r>
  <r>
    <x v="2"/>
    <x v="1"/>
    <x v="1"/>
    <x v="1"/>
    <x v="10"/>
    <n v="357.7"/>
    <n v="9657.9"/>
  </r>
  <r>
    <x v="0"/>
    <x v="2"/>
    <x v="2"/>
    <x v="0"/>
    <x v="11"/>
    <n v="230"/>
    <n v="4140"/>
  </r>
  <r>
    <x v="1"/>
    <x v="0"/>
    <x v="0"/>
    <x v="2"/>
    <x v="0"/>
    <n v="357.7"/>
    <n v="7154"/>
  </r>
  <r>
    <x v="3"/>
    <x v="1"/>
    <x v="1"/>
    <x v="3"/>
    <x v="12"/>
    <n v="245.9"/>
    <n v="2950.8"/>
  </r>
  <r>
    <x v="2"/>
    <x v="2"/>
    <x v="2"/>
    <x v="0"/>
    <x v="13"/>
    <n v="230"/>
    <n v="11040"/>
  </r>
  <r>
    <x v="0"/>
    <x v="3"/>
    <x v="3"/>
    <x v="1"/>
    <x v="14"/>
    <n v="357.7"/>
    <n v="13234.9"/>
  </r>
  <r>
    <x v="1"/>
    <x v="1"/>
    <x v="1"/>
    <x v="0"/>
    <x v="15"/>
    <n v="230"/>
    <n v="5060"/>
  </r>
  <r>
    <x v="3"/>
    <x v="2"/>
    <x v="2"/>
    <x v="2"/>
    <x v="16"/>
    <n v="357.7"/>
    <n v="14665.699999999999"/>
  </r>
  <r>
    <x v="2"/>
    <x v="3"/>
    <x v="3"/>
    <x v="3"/>
    <x v="10"/>
    <n v="245.9"/>
    <n v="6639.3"/>
  </r>
  <r>
    <x v="0"/>
    <x v="1"/>
    <x v="1"/>
    <x v="0"/>
    <x v="8"/>
    <n v="230"/>
    <n v="5520"/>
  </r>
  <r>
    <x v="1"/>
    <x v="2"/>
    <x v="2"/>
    <x v="1"/>
    <x v="3"/>
    <n v="357.7"/>
    <n v="1788.5"/>
  </r>
  <r>
    <x v="3"/>
    <x v="3"/>
    <x v="3"/>
    <x v="0"/>
    <x v="17"/>
    <n v="230"/>
    <n v="2530"/>
  </r>
  <r>
    <x v="2"/>
    <x v="1"/>
    <x v="1"/>
    <x v="2"/>
    <x v="18"/>
    <n v="357.7"/>
    <n v="12519.5"/>
  </r>
  <r>
    <x v="0"/>
    <x v="2"/>
    <x v="2"/>
    <x v="3"/>
    <x v="19"/>
    <n v="245.9"/>
    <n v="6393.4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6">
  <location ref="A1:U8" firstHeaderRow="1" firstDataRow="3" firstDataCol="1"/>
  <pivotFields count="8"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21">
        <item x="3"/>
        <item x="6"/>
        <item x="1"/>
        <item x="4"/>
        <item x="17"/>
        <item x="12"/>
        <item x="9"/>
        <item x="2"/>
        <item x="11"/>
        <item x="0"/>
        <item x="15"/>
        <item x="8"/>
        <item x="19"/>
        <item x="10"/>
        <item x="18"/>
        <item x="14"/>
        <item x="16"/>
        <item x="7"/>
        <item x="5"/>
        <item x="13"/>
        <item t="default"/>
      </items>
    </pivotField>
    <pivotField numFmtId="164"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0"/>
    <field x="-2"/>
  </colFields>
  <colItems count="20">
    <i>
      <x v="153"/>
      <x/>
    </i>
    <i r="1" i="1">
      <x v="1"/>
    </i>
    <i r="1" i="2">
      <x v="2"/>
    </i>
    <i r="1" i="3">
      <x v="3"/>
    </i>
    <i>
      <x v="155"/>
      <x/>
    </i>
    <i r="1" i="1">
      <x v="1"/>
    </i>
    <i r="1" i="2">
      <x v="2"/>
    </i>
    <i r="1" i="3">
      <x v="3"/>
    </i>
    <i>
      <x v="184"/>
      <x/>
    </i>
    <i r="1" i="1">
      <x v="1"/>
    </i>
    <i r="1" i="2">
      <x v="2"/>
    </i>
    <i r="1" i="3">
      <x v="3"/>
    </i>
    <i>
      <x v="186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Сумма по полю Сумма, руб." fld="6" baseField="3" baseItem="0" numFmtId="44"/>
    <dataField name="Среднее по полю Сумма, руб." fld="6" subtotal="average" baseField="3" baseItem="0"/>
    <dataField name="Минимум по полю Сумма, руб." fld="6" subtotal="min" baseField="3" baseItem="0"/>
    <dataField name="Максимум по полю Сумма, руб." fld="6" subtotal="max" baseField="3" baseItem="0"/>
  </dataFields>
  <formats count="47"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0" type="button" dataOnly="0" labelOnly="1" outline="0" axis="axisCol" fieldPosition="0"/>
    </format>
    <format dxfId="49">
      <pivotArea field="-2" type="button" dataOnly="0" labelOnly="1" outline="0" axis="axisCol" fieldPosition="1"/>
    </format>
    <format dxfId="48">
      <pivotArea type="topRight" dataOnly="0" labelOnly="1" outline="0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0" count="4">
            <x v="153"/>
            <x v="155"/>
            <x v="184"/>
            <x v="186"/>
          </reference>
        </references>
      </pivotArea>
    </format>
    <format dxfId="43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53"/>
          </reference>
        </references>
      </pivotArea>
    </format>
    <format dxfId="41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55"/>
          </reference>
        </references>
      </pivotArea>
    </format>
    <format dxfId="40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84"/>
          </reference>
        </references>
      </pivotArea>
    </format>
    <format dxfId="39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86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0" type="button" dataOnly="0" labelOnly="1" outline="0" axis="axisCol" fieldPosition="0"/>
    </format>
    <format dxfId="34">
      <pivotArea field="-2" type="button" dataOnly="0" labelOnly="1" outline="0" axis="axisCol" fieldPosition="1"/>
    </format>
    <format dxfId="33">
      <pivotArea type="topRight" dataOnly="0" labelOnly="1" outline="0" fieldPosition="0"/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0" count="4">
            <x v="153"/>
            <x v="155"/>
            <x v="184"/>
            <x v="186"/>
          </reference>
        </references>
      </pivotArea>
    </format>
    <format dxfId="28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53"/>
          </reference>
        </references>
      </pivotArea>
    </format>
    <format dxfId="26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55"/>
          </reference>
        </references>
      </pivotArea>
    </format>
    <format dxfId="25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84"/>
          </reference>
        </references>
      </pivotArea>
    </format>
    <format dxfId="24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86"/>
          </reference>
        </references>
      </pivotArea>
    </format>
    <format dxfId="23">
      <pivotArea outline="0" fieldPosition="0">
        <references count="1">
          <reference field="4294967294" count="1">
            <x v="0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0" type="button" dataOnly="0" labelOnly="1" outline="0" axis="axisCol" fieldPosition="0"/>
    </format>
    <format dxfId="18">
      <pivotArea field="-2" type="button" dataOnly="0" labelOnly="1" outline="0" axis="axisCol" fieldPosition="1"/>
    </format>
    <format dxfId="17">
      <pivotArea type="topRight" dataOnly="0" labelOnly="1" outline="0" fieldPosition="0"/>
    </format>
    <format dxfId="16">
      <pivotArea field="3" type="button" dataOnly="0" labelOnly="1" outline="0" axis="axisRow" fieldPosition="0"/>
    </format>
    <format dxfId="15">
      <pivotArea dataOnly="0" labelOnly="1" fieldPosition="0">
        <references count="1">
          <reference field="3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0" count="4">
            <x v="153"/>
            <x v="155"/>
            <x v="184"/>
            <x v="186"/>
          </reference>
        </references>
      </pivotArea>
    </format>
    <format dxfId="12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53"/>
          </reference>
        </references>
      </pivotArea>
    </format>
    <format dxfId="10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55"/>
          </reference>
        </references>
      </pivotArea>
    </format>
    <format dxfId="9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84"/>
          </reference>
        </references>
      </pivotArea>
    </format>
    <format dxfId="8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86"/>
          </reference>
        </references>
      </pivotArea>
    </format>
    <format dxfId="7">
      <pivotArea outline="0" collapsedLevelsAreSubtotals="1" fieldPosition="0"/>
    </format>
  </formats>
  <chartFormats count="32"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86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5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84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8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53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55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84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86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5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55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84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3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5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53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5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55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55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84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84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84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86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86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8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3">
  <location ref="A1:F22" firstHeaderRow="1" firstDataRow="2" firstDataCol="1"/>
  <pivotFields count="8"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numFmtId="164" showAll="0"/>
    <pivotField dataField="1" numFmtId="16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"/>
    <field x="3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0"/>
  </colFields>
  <colItems count="5">
    <i>
      <x v="153"/>
    </i>
    <i>
      <x v="155"/>
    </i>
    <i>
      <x v="184"/>
    </i>
    <i>
      <x v="186"/>
    </i>
    <i t="grand">
      <x/>
    </i>
  </colItems>
  <dataFields count="1">
    <dataField name="Сумма по полю Сумма, руб." fld="6" baseField="0" baseItem="0" numFmtId="44"/>
  </dataFields>
  <formats count="7">
    <format dxfId="6">
      <pivotArea type="origin" dataOnly="0" labelOnly="1" outline="0" fieldPosition="0"/>
    </format>
    <format dxfId="5">
      <pivotArea field="0" type="button" dataOnly="0" labelOnly="1" outline="0" axis="axisCol" fieldPosition="0"/>
    </format>
    <format dxfId="4">
      <pivotArea type="origin" dataOnly="0" labelOnly="1" outline="0" fieldPosition="0"/>
    </format>
    <format dxfId="3">
      <pivotArea field="0" type="button" dataOnly="0" labelOnly="1" outline="0" axis="axisCol" fieldPosition="0"/>
    </format>
    <format dxfId="2">
      <pivotArea type="origin" dataOnly="0" labelOnly="1" outline="0" fieldPosition="0"/>
    </format>
    <format dxfId="1">
      <pivotArea field="0" type="button" dataOnly="0" labelOnly="1" outline="0" axis="axisCol" fieldPosition="0"/>
    </format>
    <format dxfId="0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Дата" sourceName="Дата">
  <pivotTables>
    <pivotTable tabId="12" name="Сводная таблица2"/>
  </pivotTables>
  <data>
    <tabular pivotCacheId="844416098">
      <items count="368">
        <i x="153" s="1"/>
        <i x="184" s="1"/>
        <i x="155" s="1"/>
        <i x="186" s="1"/>
        <i x="0" s="1" nd="1"/>
        <i x="367" s="1" nd="1"/>
        <i x="214" s="1" nd="1"/>
        <i x="92" s="1" nd="1"/>
        <i x="336" s="1" nd="1"/>
        <i x="183" s="1" nd="1"/>
        <i x="122" s="1" nd="1"/>
        <i x="61" s="1" nd="1"/>
        <i x="306" s="1" nd="1"/>
        <i x="275" s="1" nd="1"/>
        <i x="245" s="1" nd="1"/>
        <i x="32" s="1" nd="1"/>
        <i x="1" s="1" nd="1"/>
        <i x="215" s="1" nd="1"/>
        <i x="93" s="1" nd="1"/>
        <i x="337" s="1" nd="1"/>
        <i x="154" s="1" nd="1"/>
        <i x="123" s="1" nd="1"/>
        <i x="62" s="1" nd="1"/>
        <i x="307" s="1" nd="1"/>
        <i x="276" s="1" nd="1"/>
        <i x="246" s="1" nd="1"/>
        <i x="33" s="1" nd="1"/>
        <i x="2" s="1" nd="1"/>
        <i x="216" s="1" nd="1"/>
        <i x="94" s="1" nd="1"/>
        <i x="338" s="1" nd="1"/>
        <i x="185" s="1" nd="1"/>
        <i x="124" s="1" nd="1"/>
        <i x="63" s="1" nd="1"/>
        <i x="308" s="1" nd="1"/>
        <i x="277" s="1" nd="1"/>
        <i x="247" s="1" nd="1"/>
        <i x="34" s="1" nd="1"/>
        <i x="3" s="1" nd="1"/>
        <i x="217" s="1" nd="1"/>
        <i x="95" s="1" nd="1"/>
        <i x="339" s="1" nd="1"/>
        <i x="156" s="1" nd="1"/>
        <i x="125" s="1" nd="1"/>
        <i x="64" s="1" nd="1"/>
        <i x="309" s="1" nd="1"/>
        <i x="278" s="1" nd="1"/>
        <i x="248" s="1" nd="1"/>
        <i x="35" s="1" nd="1"/>
        <i x="4" s="1" nd="1"/>
        <i x="218" s="1" nd="1"/>
        <i x="96" s="1" nd="1"/>
        <i x="340" s="1" nd="1"/>
        <i x="187" s="1" nd="1"/>
        <i x="157" s="1" nd="1"/>
        <i x="126" s="1" nd="1"/>
        <i x="65" s="1" nd="1"/>
        <i x="310" s="1" nd="1"/>
        <i x="279" s="1" nd="1"/>
        <i x="249" s="1" nd="1"/>
        <i x="36" s="1" nd="1"/>
        <i x="5" s="1" nd="1"/>
        <i x="219" s="1" nd="1"/>
        <i x="97" s="1" nd="1"/>
        <i x="341" s="1" nd="1"/>
        <i x="188" s="1" nd="1"/>
        <i x="158" s="1" nd="1"/>
        <i x="127" s="1" nd="1"/>
        <i x="66" s="1" nd="1"/>
        <i x="311" s="1" nd="1"/>
        <i x="280" s="1" nd="1"/>
        <i x="250" s="1" nd="1"/>
        <i x="37" s="1" nd="1"/>
        <i x="6" s="1" nd="1"/>
        <i x="220" s="1" nd="1"/>
        <i x="98" s="1" nd="1"/>
        <i x="342" s="1" nd="1"/>
        <i x="189" s="1" nd="1"/>
        <i x="159" s="1" nd="1"/>
        <i x="128" s="1" nd="1"/>
        <i x="67" s="1" nd="1"/>
        <i x="312" s="1" nd="1"/>
        <i x="281" s="1" nd="1"/>
        <i x="251" s="1" nd="1"/>
        <i x="38" s="1" nd="1"/>
        <i x="7" s="1" nd="1"/>
        <i x="221" s="1" nd="1"/>
        <i x="99" s="1" nd="1"/>
        <i x="343" s="1" nd="1"/>
        <i x="190" s="1" nd="1"/>
        <i x="160" s="1" nd="1"/>
        <i x="129" s="1" nd="1"/>
        <i x="68" s="1" nd="1"/>
        <i x="313" s="1" nd="1"/>
        <i x="282" s="1" nd="1"/>
        <i x="252" s="1" nd="1"/>
        <i x="39" s="1" nd="1"/>
        <i x="8" s="1" nd="1"/>
        <i x="222" s="1" nd="1"/>
        <i x="100" s="1" nd="1"/>
        <i x="344" s="1" nd="1"/>
        <i x="191" s="1" nd="1"/>
        <i x="161" s="1" nd="1"/>
        <i x="130" s="1" nd="1"/>
        <i x="69" s="1" nd="1"/>
        <i x="314" s="1" nd="1"/>
        <i x="283" s="1" nd="1"/>
        <i x="253" s="1" nd="1"/>
        <i x="40" s="1" nd="1"/>
        <i x="9" s="1" nd="1"/>
        <i x="223" s="1" nd="1"/>
        <i x="101" s="1" nd="1"/>
        <i x="345" s="1" nd="1"/>
        <i x="192" s="1" nd="1"/>
        <i x="162" s="1" nd="1"/>
        <i x="131" s="1" nd="1"/>
        <i x="70" s="1" nd="1"/>
        <i x="315" s="1" nd="1"/>
        <i x="284" s="1" nd="1"/>
        <i x="254" s="1" nd="1"/>
        <i x="41" s="1" nd="1"/>
        <i x="10" s="1" nd="1"/>
        <i x="224" s="1" nd="1"/>
        <i x="102" s="1" nd="1"/>
        <i x="346" s="1" nd="1"/>
        <i x="193" s="1" nd="1"/>
        <i x="163" s="1" nd="1"/>
        <i x="132" s="1" nd="1"/>
        <i x="71" s="1" nd="1"/>
        <i x="316" s="1" nd="1"/>
        <i x="285" s="1" nd="1"/>
        <i x="255" s="1" nd="1"/>
        <i x="42" s="1" nd="1"/>
        <i x="11" s="1" nd="1"/>
        <i x="225" s="1" nd="1"/>
        <i x="103" s="1" nd="1"/>
        <i x="347" s="1" nd="1"/>
        <i x="194" s="1" nd="1"/>
        <i x="164" s="1" nd="1"/>
        <i x="133" s="1" nd="1"/>
        <i x="72" s="1" nd="1"/>
        <i x="317" s="1" nd="1"/>
        <i x="286" s="1" nd="1"/>
        <i x="256" s="1" nd="1"/>
        <i x="43" s="1" nd="1"/>
        <i x="12" s="1" nd="1"/>
        <i x="226" s="1" nd="1"/>
        <i x="104" s="1" nd="1"/>
        <i x="348" s="1" nd="1"/>
        <i x="195" s="1" nd="1"/>
        <i x="165" s="1" nd="1"/>
        <i x="134" s="1" nd="1"/>
        <i x="73" s="1" nd="1"/>
        <i x="318" s="1" nd="1"/>
        <i x="287" s="1" nd="1"/>
        <i x="257" s="1" nd="1"/>
        <i x="44" s="1" nd="1"/>
        <i x="13" s="1" nd="1"/>
        <i x="227" s="1" nd="1"/>
        <i x="105" s="1" nd="1"/>
        <i x="349" s="1" nd="1"/>
        <i x="196" s="1" nd="1"/>
        <i x="166" s="1" nd="1"/>
        <i x="135" s="1" nd="1"/>
        <i x="74" s="1" nd="1"/>
        <i x="319" s="1" nd="1"/>
        <i x="288" s="1" nd="1"/>
        <i x="258" s="1" nd="1"/>
        <i x="45" s="1" nd="1"/>
        <i x="14" s="1" nd="1"/>
        <i x="228" s="1" nd="1"/>
        <i x="106" s="1" nd="1"/>
        <i x="350" s="1" nd="1"/>
        <i x="197" s="1" nd="1"/>
        <i x="167" s="1" nd="1"/>
        <i x="136" s="1" nd="1"/>
        <i x="75" s="1" nd="1"/>
        <i x="320" s="1" nd="1"/>
        <i x="289" s="1" nd="1"/>
        <i x="259" s="1" nd="1"/>
        <i x="46" s="1" nd="1"/>
        <i x="15" s="1" nd="1"/>
        <i x="229" s="1" nd="1"/>
        <i x="107" s="1" nd="1"/>
        <i x="351" s="1" nd="1"/>
        <i x="198" s="1" nd="1"/>
        <i x="168" s="1" nd="1"/>
        <i x="137" s="1" nd="1"/>
        <i x="76" s="1" nd="1"/>
        <i x="321" s="1" nd="1"/>
        <i x="290" s="1" nd="1"/>
        <i x="260" s="1" nd="1"/>
        <i x="47" s="1" nd="1"/>
        <i x="16" s="1" nd="1"/>
        <i x="230" s="1" nd="1"/>
        <i x="108" s="1" nd="1"/>
        <i x="352" s="1" nd="1"/>
        <i x="199" s="1" nd="1"/>
        <i x="169" s="1" nd="1"/>
        <i x="138" s="1" nd="1"/>
        <i x="77" s="1" nd="1"/>
        <i x="322" s="1" nd="1"/>
        <i x="291" s="1" nd="1"/>
        <i x="261" s="1" nd="1"/>
        <i x="48" s="1" nd="1"/>
        <i x="17" s="1" nd="1"/>
        <i x="231" s="1" nd="1"/>
        <i x="109" s="1" nd="1"/>
        <i x="353" s="1" nd="1"/>
        <i x="200" s="1" nd="1"/>
        <i x="170" s="1" nd="1"/>
        <i x="139" s="1" nd="1"/>
        <i x="78" s="1" nd="1"/>
        <i x="323" s="1" nd="1"/>
        <i x="292" s="1" nd="1"/>
        <i x="262" s="1" nd="1"/>
        <i x="49" s="1" nd="1"/>
        <i x="18" s="1" nd="1"/>
        <i x="232" s="1" nd="1"/>
        <i x="110" s="1" nd="1"/>
        <i x="354" s="1" nd="1"/>
        <i x="201" s="1" nd="1"/>
        <i x="171" s="1" nd="1"/>
        <i x="140" s="1" nd="1"/>
        <i x="79" s="1" nd="1"/>
        <i x="324" s="1" nd="1"/>
        <i x="293" s="1" nd="1"/>
        <i x="263" s="1" nd="1"/>
        <i x="50" s="1" nd="1"/>
        <i x="19" s="1" nd="1"/>
        <i x="233" s="1" nd="1"/>
        <i x="111" s="1" nd="1"/>
        <i x="355" s="1" nd="1"/>
        <i x="202" s="1" nd="1"/>
        <i x="172" s="1" nd="1"/>
        <i x="141" s="1" nd="1"/>
        <i x="80" s="1" nd="1"/>
        <i x="325" s="1" nd="1"/>
        <i x="294" s="1" nd="1"/>
        <i x="264" s="1" nd="1"/>
        <i x="51" s="1" nd="1"/>
        <i x="20" s="1" nd="1"/>
        <i x="234" s="1" nd="1"/>
        <i x="112" s="1" nd="1"/>
        <i x="356" s="1" nd="1"/>
        <i x="203" s="1" nd="1"/>
        <i x="173" s="1" nd="1"/>
        <i x="142" s="1" nd="1"/>
        <i x="81" s="1" nd="1"/>
        <i x="326" s="1" nd="1"/>
        <i x="295" s="1" nd="1"/>
        <i x="265" s="1" nd="1"/>
        <i x="52" s="1" nd="1"/>
        <i x="21" s="1" nd="1"/>
        <i x="235" s="1" nd="1"/>
        <i x="113" s="1" nd="1"/>
        <i x="357" s="1" nd="1"/>
        <i x="204" s="1" nd="1"/>
        <i x="174" s="1" nd="1"/>
        <i x="143" s="1" nd="1"/>
        <i x="82" s="1" nd="1"/>
        <i x="327" s="1" nd="1"/>
        <i x="296" s="1" nd="1"/>
        <i x="266" s="1" nd="1"/>
        <i x="53" s="1" nd="1"/>
        <i x="22" s="1" nd="1"/>
        <i x="236" s="1" nd="1"/>
        <i x="114" s="1" nd="1"/>
        <i x="358" s="1" nd="1"/>
        <i x="205" s="1" nd="1"/>
        <i x="175" s="1" nd="1"/>
        <i x="144" s="1" nd="1"/>
        <i x="83" s="1" nd="1"/>
        <i x="328" s="1" nd="1"/>
        <i x="297" s="1" nd="1"/>
        <i x="267" s="1" nd="1"/>
        <i x="54" s="1" nd="1"/>
        <i x="23" s="1" nd="1"/>
        <i x="237" s="1" nd="1"/>
        <i x="115" s="1" nd="1"/>
        <i x="359" s="1" nd="1"/>
        <i x="206" s="1" nd="1"/>
        <i x="176" s="1" nd="1"/>
        <i x="145" s="1" nd="1"/>
        <i x="84" s="1" nd="1"/>
        <i x="329" s="1" nd="1"/>
        <i x="298" s="1" nd="1"/>
        <i x="268" s="1" nd="1"/>
        <i x="55" s="1" nd="1"/>
        <i x="24" s="1" nd="1"/>
        <i x="238" s="1" nd="1"/>
        <i x="116" s="1" nd="1"/>
        <i x="360" s="1" nd="1"/>
        <i x="207" s="1" nd="1"/>
        <i x="177" s="1" nd="1"/>
        <i x="146" s="1" nd="1"/>
        <i x="85" s="1" nd="1"/>
        <i x="330" s="1" nd="1"/>
        <i x="299" s="1" nd="1"/>
        <i x="269" s="1" nd="1"/>
        <i x="56" s="1" nd="1"/>
        <i x="25" s="1" nd="1"/>
        <i x="239" s="1" nd="1"/>
        <i x="117" s="1" nd="1"/>
        <i x="361" s="1" nd="1"/>
        <i x="208" s="1" nd="1"/>
        <i x="178" s="1" nd="1"/>
        <i x="147" s="1" nd="1"/>
        <i x="86" s="1" nd="1"/>
        <i x="331" s="1" nd="1"/>
        <i x="300" s="1" nd="1"/>
        <i x="270" s="1" nd="1"/>
        <i x="57" s="1" nd="1"/>
        <i x="26" s="1" nd="1"/>
        <i x="240" s="1" nd="1"/>
        <i x="118" s="1" nd="1"/>
        <i x="362" s="1" nd="1"/>
        <i x="209" s="1" nd="1"/>
        <i x="179" s="1" nd="1"/>
        <i x="148" s="1" nd="1"/>
        <i x="87" s="1" nd="1"/>
        <i x="332" s="1" nd="1"/>
        <i x="301" s="1" nd="1"/>
        <i x="271" s="1" nd="1"/>
        <i x="58" s="1" nd="1"/>
        <i x="27" s="1" nd="1"/>
        <i x="241" s="1" nd="1"/>
        <i x="119" s="1" nd="1"/>
        <i x="363" s="1" nd="1"/>
        <i x="210" s="1" nd="1"/>
        <i x="180" s="1" nd="1"/>
        <i x="149" s="1" nd="1"/>
        <i x="88" s="1" nd="1"/>
        <i x="333" s="1" nd="1"/>
        <i x="302" s="1" nd="1"/>
        <i x="272" s="1" nd="1"/>
        <i x="59" s="1" nd="1"/>
        <i x="28" s="1" nd="1"/>
        <i x="242" s="1" nd="1"/>
        <i x="120" s="1" nd="1"/>
        <i x="364" s="1" nd="1"/>
        <i x="211" s="1" nd="1"/>
        <i x="181" s="1" nd="1"/>
        <i x="150" s="1" nd="1"/>
        <i x="89" s="1" nd="1"/>
        <i x="334" s="1" nd="1"/>
        <i x="303" s="1" nd="1"/>
        <i x="273" s="1" nd="1"/>
        <i x="60" s="1" nd="1"/>
        <i x="29" s="1" nd="1"/>
        <i x="243" s="1" nd="1"/>
        <i x="121" s="1" nd="1"/>
        <i x="365" s="1" nd="1"/>
        <i x="212" s="1" nd="1"/>
        <i x="182" s="1" nd="1"/>
        <i x="151" s="1" nd="1"/>
        <i x="90" s="1" nd="1"/>
        <i x="335" s="1" nd="1"/>
        <i x="304" s="1" nd="1"/>
        <i x="274" s="1" nd="1"/>
        <i x="30" s="1" nd="1"/>
        <i x="244" s="1" nd="1"/>
        <i x="366" s="1" nd="1"/>
        <i x="213" s="1" nd="1"/>
        <i x="152" s="1" nd="1"/>
        <i x="91" s="1" nd="1"/>
        <i x="305" s="1" nd="1"/>
        <i x="3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Наименование_фирмы" sourceName="Наименование фирмы">
  <pivotTables>
    <pivotTable tabId="12" name="Сводная таблица2"/>
  </pivotTables>
  <data>
    <tabular pivotCacheId="844416098" sortOrder="descending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Наименование_товара" sourceName="Наименование товара">
  <pivotTables>
    <pivotTable tabId="12" name="Сводная таблица2"/>
  </pivotTables>
  <data>
    <tabular pivotCacheId="844416098" sortOrder="descending">
      <items count="4">
        <i x="1" s="1"/>
        <i x="3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Дата1" sourceName="Дата">
  <pivotTables>
    <pivotTable tabId="11" name="Сводная таблица1"/>
  </pivotTables>
  <data>
    <tabular pivotCacheId="844416098">
      <items count="368">
        <i x="153" s="1"/>
        <i x="184" s="1"/>
        <i x="155" s="1"/>
        <i x="186" s="1"/>
        <i x="0" s="1" nd="1"/>
        <i x="367" s="1" nd="1"/>
        <i x="214" s="1" nd="1"/>
        <i x="92" s="1" nd="1"/>
        <i x="336" s="1" nd="1"/>
        <i x="183" s="1" nd="1"/>
        <i x="122" s="1" nd="1"/>
        <i x="61" s="1" nd="1"/>
        <i x="306" s="1" nd="1"/>
        <i x="275" s="1" nd="1"/>
        <i x="245" s="1" nd="1"/>
        <i x="32" s="1" nd="1"/>
        <i x="1" s="1" nd="1"/>
        <i x="215" s="1" nd="1"/>
        <i x="93" s="1" nd="1"/>
        <i x="337" s="1" nd="1"/>
        <i x="154" s="1" nd="1"/>
        <i x="123" s="1" nd="1"/>
        <i x="62" s="1" nd="1"/>
        <i x="307" s="1" nd="1"/>
        <i x="276" s="1" nd="1"/>
        <i x="246" s="1" nd="1"/>
        <i x="33" s="1" nd="1"/>
        <i x="2" s="1" nd="1"/>
        <i x="216" s="1" nd="1"/>
        <i x="94" s="1" nd="1"/>
        <i x="338" s="1" nd="1"/>
        <i x="185" s="1" nd="1"/>
        <i x="124" s="1" nd="1"/>
        <i x="63" s="1" nd="1"/>
        <i x="308" s="1" nd="1"/>
        <i x="277" s="1" nd="1"/>
        <i x="247" s="1" nd="1"/>
        <i x="34" s="1" nd="1"/>
        <i x="3" s="1" nd="1"/>
        <i x="217" s="1" nd="1"/>
        <i x="95" s="1" nd="1"/>
        <i x="339" s="1" nd="1"/>
        <i x="156" s="1" nd="1"/>
        <i x="125" s="1" nd="1"/>
        <i x="64" s="1" nd="1"/>
        <i x="309" s="1" nd="1"/>
        <i x="278" s="1" nd="1"/>
        <i x="248" s="1" nd="1"/>
        <i x="35" s="1" nd="1"/>
        <i x="4" s="1" nd="1"/>
        <i x="218" s="1" nd="1"/>
        <i x="96" s="1" nd="1"/>
        <i x="340" s="1" nd="1"/>
        <i x="187" s="1" nd="1"/>
        <i x="157" s="1" nd="1"/>
        <i x="126" s="1" nd="1"/>
        <i x="65" s="1" nd="1"/>
        <i x="310" s="1" nd="1"/>
        <i x="279" s="1" nd="1"/>
        <i x="249" s="1" nd="1"/>
        <i x="36" s="1" nd="1"/>
        <i x="5" s="1" nd="1"/>
        <i x="219" s="1" nd="1"/>
        <i x="97" s="1" nd="1"/>
        <i x="341" s="1" nd="1"/>
        <i x="188" s="1" nd="1"/>
        <i x="158" s="1" nd="1"/>
        <i x="127" s="1" nd="1"/>
        <i x="66" s="1" nd="1"/>
        <i x="311" s="1" nd="1"/>
        <i x="280" s="1" nd="1"/>
        <i x="250" s="1" nd="1"/>
        <i x="37" s="1" nd="1"/>
        <i x="6" s="1" nd="1"/>
        <i x="220" s="1" nd="1"/>
        <i x="98" s="1" nd="1"/>
        <i x="342" s="1" nd="1"/>
        <i x="189" s="1" nd="1"/>
        <i x="159" s="1" nd="1"/>
        <i x="128" s="1" nd="1"/>
        <i x="67" s="1" nd="1"/>
        <i x="312" s="1" nd="1"/>
        <i x="281" s="1" nd="1"/>
        <i x="251" s="1" nd="1"/>
        <i x="38" s="1" nd="1"/>
        <i x="7" s="1" nd="1"/>
        <i x="221" s="1" nd="1"/>
        <i x="99" s="1" nd="1"/>
        <i x="343" s="1" nd="1"/>
        <i x="190" s="1" nd="1"/>
        <i x="160" s="1" nd="1"/>
        <i x="129" s="1" nd="1"/>
        <i x="68" s="1" nd="1"/>
        <i x="313" s="1" nd="1"/>
        <i x="282" s="1" nd="1"/>
        <i x="252" s="1" nd="1"/>
        <i x="39" s="1" nd="1"/>
        <i x="8" s="1" nd="1"/>
        <i x="222" s="1" nd="1"/>
        <i x="100" s="1" nd="1"/>
        <i x="344" s="1" nd="1"/>
        <i x="191" s="1" nd="1"/>
        <i x="161" s="1" nd="1"/>
        <i x="130" s="1" nd="1"/>
        <i x="69" s="1" nd="1"/>
        <i x="314" s="1" nd="1"/>
        <i x="283" s="1" nd="1"/>
        <i x="253" s="1" nd="1"/>
        <i x="40" s="1" nd="1"/>
        <i x="9" s="1" nd="1"/>
        <i x="223" s="1" nd="1"/>
        <i x="101" s="1" nd="1"/>
        <i x="345" s="1" nd="1"/>
        <i x="192" s="1" nd="1"/>
        <i x="162" s="1" nd="1"/>
        <i x="131" s="1" nd="1"/>
        <i x="70" s="1" nd="1"/>
        <i x="315" s="1" nd="1"/>
        <i x="284" s="1" nd="1"/>
        <i x="254" s="1" nd="1"/>
        <i x="41" s="1" nd="1"/>
        <i x="10" s="1" nd="1"/>
        <i x="224" s="1" nd="1"/>
        <i x="102" s="1" nd="1"/>
        <i x="346" s="1" nd="1"/>
        <i x="193" s="1" nd="1"/>
        <i x="163" s="1" nd="1"/>
        <i x="132" s="1" nd="1"/>
        <i x="71" s="1" nd="1"/>
        <i x="316" s="1" nd="1"/>
        <i x="285" s="1" nd="1"/>
        <i x="255" s="1" nd="1"/>
        <i x="42" s="1" nd="1"/>
        <i x="11" s="1" nd="1"/>
        <i x="225" s="1" nd="1"/>
        <i x="103" s="1" nd="1"/>
        <i x="347" s="1" nd="1"/>
        <i x="194" s="1" nd="1"/>
        <i x="164" s="1" nd="1"/>
        <i x="133" s="1" nd="1"/>
        <i x="72" s="1" nd="1"/>
        <i x="317" s="1" nd="1"/>
        <i x="286" s="1" nd="1"/>
        <i x="256" s="1" nd="1"/>
        <i x="43" s="1" nd="1"/>
        <i x="12" s="1" nd="1"/>
        <i x="226" s="1" nd="1"/>
        <i x="104" s="1" nd="1"/>
        <i x="348" s="1" nd="1"/>
        <i x="195" s="1" nd="1"/>
        <i x="165" s="1" nd="1"/>
        <i x="134" s="1" nd="1"/>
        <i x="73" s="1" nd="1"/>
        <i x="318" s="1" nd="1"/>
        <i x="287" s="1" nd="1"/>
        <i x="257" s="1" nd="1"/>
        <i x="44" s="1" nd="1"/>
        <i x="13" s="1" nd="1"/>
        <i x="227" s="1" nd="1"/>
        <i x="105" s="1" nd="1"/>
        <i x="349" s="1" nd="1"/>
        <i x="196" s="1" nd="1"/>
        <i x="166" s="1" nd="1"/>
        <i x="135" s="1" nd="1"/>
        <i x="74" s="1" nd="1"/>
        <i x="319" s="1" nd="1"/>
        <i x="288" s="1" nd="1"/>
        <i x="258" s="1" nd="1"/>
        <i x="45" s="1" nd="1"/>
        <i x="14" s="1" nd="1"/>
        <i x="228" s="1" nd="1"/>
        <i x="106" s="1" nd="1"/>
        <i x="350" s="1" nd="1"/>
        <i x="197" s="1" nd="1"/>
        <i x="167" s="1" nd="1"/>
        <i x="136" s="1" nd="1"/>
        <i x="75" s="1" nd="1"/>
        <i x="320" s="1" nd="1"/>
        <i x="289" s="1" nd="1"/>
        <i x="259" s="1" nd="1"/>
        <i x="46" s="1" nd="1"/>
        <i x="15" s="1" nd="1"/>
        <i x="229" s="1" nd="1"/>
        <i x="107" s="1" nd="1"/>
        <i x="351" s="1" nd="1"/>
        <i x="198" s="1" nd="1"/>
        <i x="168" s="1" nd="1"/>
        <i x="137" s="1" nd="1"/>
        <i x="76" s="1" nd="1"/>
        <i x="321" s="1" nd="1"/>
        <i x="290" s="1" nd="1"/>
        <i x="260" s="1" nd="1"/>
        <i x="47" s="1" nd="1"/>
        <i x="16" s="1" nd="1"/>
        <i x="230" s="1" nd="1"/>
        <i x="108" s="1" nd="1"/>
        <i x="352" s="1" nd="1"/>
        <i x="199" s="1" nd="1"/>
        <i x="169" s="1" nd="1"/>
        <i x="138" s="1" nd="1"/>
        <i x="77" s="1" nd="1"/>
        <i x="322" s="1" nd="1"/>
        <i x="291" s="1" nd="1"/>
        <i x="261" s="1" nd="1"/>
        <i x="48" s="1" nd="1"/>
        <i x="17" s="1" nd="1"/>
        <i x="231" s="1" nd="1"/>
        <i x="109" s="1" nd="1"/>
        <i x="353" s="1" nd="1"/>
        <i x="200" s="1" nd="1"/>
        <i x="170" s="1" nd="1"/>
        <i x="139" s="1" nd="1"/>
        <i x="78" s="1" nd="1"/>
        <i x="323" s="1" nd="1"/>
        <i x="292" s="1" nd="1"/>
        <i x="262" s="1" nd="1"/>
        <i x="49" s="1" nd="1"/>
        <i x="18" s="1" nd="1"/>
        <i x="232" s="1" nd="1"/>
        <i x="110" s="1" nd="1"/>
        <i x="354" s="1" nd="1"/>
        <i x="201" s="1" nd="1"/>
        <i x="171" s="1" nd="1"/>
        <i x="140" s="1" nd="1"/>
        <i x="79" s="1" nd="1"/>
        <i x="324" s="1" nd="1"/>
        <i x="293" s="1" nd="1"/>
        <i x="263" s="1" nd="1"/>
        <i x="50" s="1" nd="1"/>
        <i x="19" s="1" nd="1"/>
        <i x="233" s="1" nd="1"/>
        <i x="111" s="1" nd="1"/>
        <i x="355" s="1" nd="1"/>
        <i x="202" s="1" nd="1"/>
        <i x="172" s="1" nd="1"/>
        <i x="141" s="1" nd="1"/>
        <i x="80" s="1" nd="1"/>
        <i x="325" s="1" nd="1"/>
        <i x="294" s="1" nd="1"/>
        <i x="264" s="1" nd="1"/>
        <i x="51" s="1" nd="1"/>
        <i x="20" s="1" nd="1"/>
        <i x="234" s="1" nd="1"/>
        <i x="112" s="1" nd="1"/>
        <i x="356" s="1" nd="1"/>
        <i x="203" s="1" nd="1"/>
        <i x="173" s="1" nd="1"/>
        <i x="142" s="1" nd="1"/>
        <i x="81" s="1" nd="1"/>
        <i x="326" s="1" nd="1"/>
        <i x="295" s="1" nd="1"/>
        <i x="265" s="1" nd="1"/>
        <i x="52" s="1" nd="1"/>
        <i x="21" s="1" nd="1"/>
        <i x="235" s="1" nd="1"/>
        <i x="113" s="1" nd="1"/>
        <i x="357" s="1" nd="1"/>
        <i x="204" s="1" nd="1"/>
        <i x="174" s="1" nd="1"/>
        <i x="143" s="1" nd="1"/>
        <i x="82" s="1" nd="1"/>
        <i x="327" s="1" nd="1"/>
        <i x="296" s="1" nd="1"/>
        <i x="266" s="1" nd="1"/>
        <i x="53" s="1" nd="1"/>
        <i x="22" s="1" nd="1"/>
        <i x="236" s="1" nd="1"/>
        <i x="114" s="1" nd="1"/>
        <i x="358" s="1" nd="1"/>
        <i x="205" s="1" nd="1"/>
        <i x="175" s="1" nd="1"/>
        <i x="144" s="1" nd="1"/>
        <i x="83" s="1" nd="1"/>
        <i x="328" s="1" nd="1"/>
        <i x="297" s="1" nd="1"/>
        <i x="267" s="1" nd="1"/>
        <i x="54" s="1" nd="1"/>
        <i x="23" s="1" nd="1"/>
        <i x="237" s="1" nd="1"/>
        <i x="115" s="1" nd="1"/>
        <i x="359" s="1" nd="1"/>
        <i x="206" s="1" nd="1"/>
        <i x="176" s="1" nd="1"/>
        <i x="145" s="1" nd="1"/>
        <i x="84" s="1" nd="1"/>
        <i x="329" s="1" nd="1"/>
        <i x="298" s="1" nd="1"/>
        <i x="268" s="1" nd="1"/>
        <i x="55" s="1" nd="1"/>
        <i x="24" s="1" nd="1"/>
        <i x="238" s="1" nd="1"/>
        <i x="116" s="1" nd="1"/>
        <i x="360" s="1" nd="1"/>
        <i x="207" s="1" nd="1"/>
        <i x="177" s="1" nd="1"/>
        <i x="146" s="1" nd="1"/>
        <i x="85" s="1" nd="1"/>
        <i x="330" s="1" nd="1"/>
        <i x="299" s="1" nd="1"/>
        <i x="269" s="1" nd="1"/>
        <i x="56" s="1" nd="1"/>
        <i x="25" s="1" nd="1"/>
        <i x="239" s="1" nd="1"/>
        <i x="117" s="1" nd="1"/>
        <i x="361" s="1" nd="1"/>
        <i x="208" s="1" nd="1"/>
        <i x="178" s="1" nd="1"/>
        <i x="147" s="1" nd="1"/>
        <i x="86" s="1" nd="1"/>
        <i x="331" s="1" nd="1"/>
        <i x="300" s="1" nd="1"/>
        <i x="270" s="1" nd="1"/>
        <i x="57" s="1" nd="1"/>
        <i x="26" s="1" nd="1"/>
        <i x="240" s="1" nd="1"/>
        <i x="118" s="1" nd="1"/>
        <i x="362" s="1" nd="1"/>
        <i x="209" s="1" nd="1"/>
        <i x="179" s="1" nd="1"/>
        <i x="148" s="1" nd="1"/>
        <i x="87" s="1" nd="1"/>
        <i x="332" s="1" nd="1"/>
        <i x="301" s="1" nd="1"/>
        <i x="271" s="1" nd="1"/>
        <i x="58" s="1" nd="1"/>
        <i x="27" s="1" nd="1"/>
        <i x="241" s="1" nd="1"/>
        <i x="119" s="1" nd="1"/>
        <i x="363" s="1" nd="1"/>
        <i x="210" s="1" nd="1"/>
        <i x="180" s="1" nd="1"/>
        <i x="149" s="1" nd="1"/>
        <i x="88" s="1" nd="1"/>
        <i x="333" s="1" nd="1"/>
        <i x="302" s="1" nd="1"/>
        <i x="272" s="1" nd="1"/>
        <i x="59" s="1" nd="1"/>
        <i x="28" s="1" nd="1"/>
        <i x="242" s="1" nd="1"/>
        <i x="120" s="1" nd="1"/>
        <i x="364" s="1" nd="1"/>
        <i x="211" s="1" nd="1"/>
        <i x="181" s="1" nd="1"/>
        <i x="150" s="1" nd="1"/>
        <i x="89" s="1" nd="1"/>
        <i x="334" s="1" nd="1"/>
        <i x="303" s="1" nd="1"/>
        <i x="273" s="1" nd="1"/>
        <i x="60" s="1" nd="1"/>
        <i x="29" s="1" nd="1"/>
        <i x="243" s="1" nd="1"/>
        <i x="121" s="1" nd="1"/>
        <i x="365" s="1" nd="1"/>
        <i x="212" s="1" nd="1"/>
        <i x="182" s="1" nd="1"/>
        <i x="151" s="1" nd="1"/>
        <i x="90" s="1" nd="1"/>
        <i x="335" s="1" nd="1"/>
        <i x="304" s="1" nd="1"/>
        <i x="274" s="1" nd="1"/>
        <i x="30" s="1" nd="1"/>
        <i x="244" s="1" nd="1"/>
        <i x="366" s="1" nd="1"/>
        <i x="213" s="1" nd="1"/>
        <i x="152" s="1" nd="1"/>
        <i x="91" s="1" nd="1"/>
        <i x="305" s="1" nd="1"/>
        <i x="31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Наименование_фирмы1" sourceName="Наименование фирмы">
  <pivotTables>
    <pivotTable tabId="11" name="Сводная таблица1"/>
  </pivotTables>
  <data>
    <tabular pivotCacheId="844416098">
      <items count="4">
        <i x="1" s="1"/>
        <i x="0" s="1"/>
        <i x="3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Наименование_товара1" sourceName="Наименование товара">
  <pivotTables>
    <pivotTable tabId="11" name="Сводная таблица1"/>
  </pivotTables>
  <data>
    <tabular pivotCacheId="844416098" sortOrder="descending">
      <items count="4">
        <i x="1" s="1"/>
        <i x="3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Дата 1" cache="Срез_Дата1" caption="Дата" rowHeight="241300"/>
  <slicer name="Наименование фирмы 1" cache="Срез_Наименование_фирмы1" caption="Наименование фирмы" rowHeight="241300"/>
  <slicer name="Наименование товара 1" cache="Срез_Наименование_товара1" caption="Наименование товара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Дата" cache="Срез_Дата" caption="Дата" rowHeight="241300"/>
  <slicer name="Наименование фирмы" cache="Срез_Наименование_фирмы" caption="Наименование фирмы" rowHeight="241300"/>
  <slicer name="Наименование товара" cache="Срез_Наименование_товара" caption="Наименование товара" rowHeight="241300"/>
</slicers>
</file>

<file path=xl/tables/table1.xml><?xml version="1.0" encoding="utf-8"?>
<table xmlns="http://schemas.openxmlformats.org/spreadsheetml/2006/main" id="1" name="Таблица1" displayName="Таблица1" ref="A1:G26" totalsRowShown="0" headerRowDxfId="65" dataDxfId="63" headerRowBorderDxfId="64" tableBorderDxfId="62" totalsRowBorderDxfId="61">
  <autoFilter ref="A1:G26"/>
  <tableColumns count="7">
    <tableColumn id="1" name="Дата" dataDxfId="60"/>
    <tableColumn id="2" name="Наименование фирмы" dataDxfId="59"/>
    <tableColumn id="3" name="Код фирмы" dataDxfId="58"/>
    <tableColumn id="4" name="Наименование товара" dataDxfId="57"/>
    <tableColumn id="5" name="Количество" dataDxfId="56"/>
    <tableColumn id="6" name="Цена, руб." dataDxfId="55"/>
    <tableColumn id="7" name="Сумма, руб." dataDxfId="54">
      <calculatedColumnFormula>Таблица1[[#This Row],[Цена, руб.]]*Таблица1[[#This Row],[Количество]]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zoomScale="103" workbookViewId="0">
      <selection activeCell="C2" sqref="C2"/>
    </sheetView>
  </sheetViews>
  <sheetFormatPr defaultColWidth="9.109375" defaultRowHeight="14.4" x14ac:dyDescent="0.3"/>
  <cols>
    <col min="1" max="1" width="4.109375" style="1" bestFit="1" customWidth="1"/>
    <col min="2" max="17" width="5.33203125" style="1" bestFit="1" customWidth="1"/>
    <col min="18" max="25" width="4.5546875" style="1" bestFit="1" customWidth="1"/>
    <col min="26" max="29" width="5.33203125" style="1" bestFit="1" customWidth="1"/>
    <col min="30" max="32" width="4.5546875" style="1" bestFit="1" customWidth="1"/>
    <col min="33" max="33" width="5.33203125" style="1" bestFit="1" customWidth="1"/>
    <col min="34" max="16384" width="9.109375" style="1"/>
  </cols>
  <sheetData>
    <row r="1" spans="1:33" x14ac:dyDescent="0.3">
      <c r="A1" s="45" t="s">
        <v>0</v>
      </c>
      <c r="B1" s="45">
        <f>-3.14</f>
        <v>-3.14</v>
      </c>
      <c r="C1" s="45">
        <f>B1+0.2</f>
        <v>-2.94</v>
      </c>
      <c r="D1" s="45">
        <f t="shared" ref="D1:AG1" si="0">C1+0.2</f>
        <v>-2.7399999999999998</v>
      </c>
      <c r="E1" s="45">
        <f t="shared" si="0"/>
        <v>-2.5399999999999996</v>
      </c>
      <c r="F1" s="45">
        <f t="shared" si="0"/>
        <v>-2.3399999999999994</v>
      </c>
      <c r="G1" s="45">
        <f t="shared" si="0"/>
        <v>-2.1399999999999992</v>
      </c>
      <c r="H1" s="45">
        <f t="shared" si="0"/>
        <v>-1.9399999999999993</v>
      </c>
      <c r="I1" s="45">
        <f t="shared" si="0"/>
        <v>-1.7399999999999993</v>
      </c>
      <c r="J1" s="45">
        <f t="shared" si="0"/>
        <v>-1.5399999999999994</v>
      </c>
      <c r="K1" s="45">
        <f t="shared" si="0"/>
        <v>-1.3399999999999994</v>
      </c>
      <c r="L1" s="45">
        <f t="shared" si="0"/>
        <v>-1.1399999999999995</v>
      </c>
      <c r="M1" s="45">
        <f t="shared" si="0"/>
        <v>-0.9399999999999995</v>
      </c>
      <c r="N1" s="45">
        <f t="shared" si="0"/>
        <v>-0.73999999999999955</v>
      </c>
      <c r="O1" s="45">
        <f>N1+0.2</f>
        <v>-0.53999999999999959</v>
      </c>
      <c r="P1" s="45">
        <f t="shared" si="0"/>
        <v>-0.33999999999999958</v>
      </c>
      <c r="Q1" s="45">
        <f t="shared" si="0"/>
        <v>-0.13999999999999957</v>
      </c>
      <c r="R1" s="45">
        <f t="shared" si="0"/>
        <v>6.0000000000000442E-2</v>
      </c>
      <c r="S1" s="45">
        <f t="shared" si="0"/>
        <v>0.26000000000000045</v>
      </c>
      <c r="T1" s="45">
        <f t="shared" si="0"/>
        <v>0.46000000000000046</v>
      </c>
      <c r="U1" s="45">
        <f t="shared" si="0"/>
        <v>0.66000000000000048</v>
      </c>
      <c r="V1" s="45">
        <f t="shared" si="0"/>
        <v>0.86000000000000054</v>
      </c>
      <c r="W1" s="45">
        <f t="shared" si="0"/>
        <v>1.0600000000000005</v>
      </c>
      <c r="X1" s="45">
        <f t="shared" si="0"/>
        <v>1.2600000000000005</v>
      </c>
      <c r="Y1" s="45">
        <f t="shared" si="0"/>
        <v>1.4600000000000004</v>
      </c>
      <c r="Z1" s="45">
        <f t="shared" si="0"/>
        <v>1.6600000000000004</v>
      </c>
      <c r="AA1" s="45">
        <f t="shared" si="0"/>
        <v>1.8600000000000003</v>
      </c>
      <c r="AB1" s="45">
        <f t="shared" si="0"/>
        <v>2.0600000000000005</v>
      </c>
      <c r="AC1" s="45">
        <f t="shared" si="0"/>
        <v>2.2600000000000007</v>
      </c>
      <c r="AD1" s="45">
        <f t="shared" si="0"/>
        <v>2.4600000000000009</v>
      </c>
      <c r="AE1" s="45">
        <f t="shared" si="0"/>
        <v>2.660000000000001</v>
      </c>
      <c r="AF1" s="45">
        <f t="shared" si="0"/>
        <v>2.8600000000000012</v>
      </c>
      <c r="AG1" s="45">
        <f t="shared" si="0"/>
        <v>3.0600000000000014</v>
      </c>
    </row>
    <row r="2" spans="1:33" x14ac:dyDescent="0.3">
      <c r="A2" s="45" t="s">
        <v>1</v>
      </c>
      <c r="B2" s="45">
        <f>SIN(B1^2) + COS(B1^2)</f>
        <v>-1.3281940298618933</v>
      </c>
      <c r="C2" s="45">
        <f t="shared" ref="C2:AG2" si="1">SIN(C1^2) + COS(C1^2)</f>
        <v>-5.9682500766741198E-3</v>
      </c>
      <c r="D2" s="45">
        <f t="shared" si="1"/>
        <v>1.2801038663787812</v>
      </c>
      <c r="E2" s="45">
        <f t="shared" si="1"/>
        <v>1.1534714168248428</v>
      </c>
      <c r="F2" s="45">
        <f t="shared" si="1"/>
        <v>-3.1374785358319501E-2</v>
      </c>
      <c r="G2" s="45">
        <f t="shared" si="1"/>
        <v>-1.1235955722495978</v>
      </c>
      <c r="H2" s="45">
        <f t="shared" si="1"/>
        <v>-1.3953782036814171</v>
      </c>
      <c r="I2" s="45">
        <f t="shared" si="1"/>
        <v>-0.87976393226366278</v>
      </c>
      <c r="J2" s="45">
        <f t="shared" si="1"/>
        <v>-2.1785819144289342E-2</v>
      </c>
      <c r="K2" s="45">
        <f t="shared" si="1"/>
        <v>0.75192291040880688</v>
      </c>
      <c r="L2" s="45">
        <f t="shared" si="1"/>
        <v>1.2313353392925139</v>
      </c>
      <c r="M2" s="45">
        <f t="shared" si="1"/>
        <v>1.407399985173909</v>
      </c>
      <c r="N2" s="45">
        <f t="shared" si="1"/>
        <v>1.3744161816386586</v>
      </c>
      <c r="O2" s="45">
        <f t="shared" si="1"/>
        <v>1.245270174228565</v>
      </c>
      <c r="P2" s="45">
        <f t="shared" si="1"/>
        <v>1.1086684620683414</v>
      </c>
      <c r="Q2" s="45">
        <f t="shared" si="1"/>
        <v>1.0194066712504799</v>
      </c>
      <c r="R2" s="45">
        <f t="shared" si="1"/>
        <v>1.0035935122310036</v>
      </c>
      <c r="S2" s="45">
        <f t="shared" si="1"/>
        <v>1.0652645157802181</v>
      </c>
      <c r="T2" s="45">
        <f t="shared" si="1"/>
        <v>1.1877206089607739</v>
      </c>
      <c r="U2" s="45">
        <f t="shared" si="1"/>
        <v>1.3285714803425954</v>
      </c>
      <c r="V2" s="45">
        <f t="shared" si="1"/>
        <v>1.4127306850790609</v>
      </c>
      <c r="W2" s="45">
        <f t="shared" si="1"/>
        <v>1.3341023314155207</v>
      </c>
      <c r="X2" s="45">
        <f t="shared" si="1"/>
        <v>0.98305593917962997</v>
      </c>
      <c r="Y2" s="45">
        <f t="shared" si="1"/>
        <v>0.31496099479402007</v>
      </c>
      <c r="Z2" s="45">
        <f t="shared" si="1"/>
        <v>-0.54994623463664527</v>
      </c>
      <c r="AA2" s="45">
        <f t="shared" si="1"/>
        <v>-1.2625347952899182</v>
      </c>
      <c r="AB2" s="45">
        <f t="shared" si="1"/>
        <v>-1.3439223353267062</v>
      </c>
      <c r="AC2" s="45">
        <f t="shared" si="1"/>
        <v>-0.53791239111843114</v>
      </c>
      <c r="AD2" s="45">
        <f t="shared" si="1"/>
        <v>0.74378296050474024</v>
      </c>
      <c r="AE2" s="45">
        <f t="shared" si="1"/>
        <v>1.4141787504575021</v>
      </c>
      <c r="AF2" s="45">
        <f t="shared" si="1"/>
        <v>0.62755837575803386</v>
      </c>
      <c r="AG2" s="45">
        <f t="shared" si="1"/>
        <v>-0.93698940647633167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D17" sqref="C2:D17"/>
    </sheetView>
  </sheetViews>
  <sheetFormatPr defaultColWidth="9.109375" defaultRowHeight="14.4" x14ac:dyDescent="0.3"/>
  <cols>
    <col min="1" max="1" width="17.33203125" style="3" customWidth="1"/>
    <col min="2" max="4" width="15.109375" style="3" customWidth="1"/>
    <col min="5" max="16384" width="9.109375" style="3"/>
  </cols>
  <sheetData>
    <row r="1" spans="1:4" ht="37.5" customHeight="1" x14ac:dyDescent="0.3">
      <c r="A1" s="46" t="s">
        <v>2</v>
      </c>
      <c r="B1" s="46" t="s">
        <v>3</v>
      </c>
      <c r="C1" s="46" t="s">
        <v>4</v>
      </c>
      <c r="D1" s="46" t="s">
        <v>5</v>
      </c>
    </row>
    <row r="2" spans="1:4" ht="14.25" customHeight="1" x14ac:dyDescent="0.3">
      <c r="A2" s="46" t="s">
        <v>6</v>
      </c>
      <c r="B2" s="50">
        <v>5</v>
      </c>
      <c r="C2" s="51">
        <f>100</f>
        <v>100</v>
      </c>
      <c r="D2" s="51">
        <f>IF(B2&gt;=10,C2*2, IF(B2&gt;6,C2*1.5,C2))</f>
        <v>100</v>
      </c>
    </row>
    <row r="3" spans="1:4" x14ac:dyDescent="0.3">
      <c r="A3" s="46" t="s">
        <v>7</v>
      </c>
      <c r="B3" s="50">
        <v>2</v>
      </c>
      <c r="C3" s="51">
        <v>40</v>
      </c>
      <c r="D3" s="51">
        <f t="shared" ref="D3:D16" si="0">IF(B3&gt;=10,C3*2, IF(B3&gt;6,C3*1.5,C3))</f>
        <v>40</v>
      </c>
    </row>
    <row r="4" spans="1:4" x14ac:dyDescent="0.3">
      <c r="A4" s="46" t="s">
        <v>8</v>
      </c>
      <c r="B4" s="50">
        <v>3</v>
      </c>
      <c r="C4" s="51">
        <v>30</v>
      </c>
      <c r="D4" s="51">
        <f t="shared" si="0"/>
        <v>30</v>
      </c>
    </row>
    <row r="5" spans="1:4" x14ac:dyDescent="0.3">
      <c r="A5" s="46" t="s">
        <v>9</v>
      </c>
      <c r="B5" s="50">
        <v>4</v>
      </c>
      <c r="C5" s="51">
        <v>42</v>
      </c>
      <c r="D5" s="51">
        <f t="shared" si="0"/>
        <v>42</v>
      </c>
    </row>
    <row r="6" spans="1:4" x14ac:dyDescent="0.3">
      <c r="A6" s="46" t="s">
        <v>10</v>
      </c>
      <c r="B6" s="50">
        <v>9</v>
      </c>
      <c r="C6" s="51">
        <v>65</v>
      </c>
      <c r="D6" s="51">
        <f t="shared" si="0"/>
        <v>97.5</v>
      </c>
    </row>
    <row r="7" spans="1:4" x14ac:dyDescent="0.3">
      <c r="A7" s="46" t="s">
        <v>11</v>
      </c>
      <c r="B7" s="50">
        <v>10</v>
      </c>
      <c r="C7" s="51">
        <v>90</v>
      </c>
      <c r="D7" s="51">
        <f t="shared" si="0"/>
        <v>180</v>
      </c>
    </row>
    <row r="8" spans="1:4" x14ac:dyDescent="0.3">
      <c r="A8" s="46" t="s">
        <v>12</v>
      </c>
      <c r="B8" s="50">
        <v>14</v>
      </c>
      <c r="C8" s="51">
        <v>250</v>
      </c>
      <c r="D8" s="51">
        <f t="shared" si="0"/>
        <v>500</v>
      </c>
    </row>
    <row r="9" spans="1:4" x14ac:dyDescent="0.3">
      <c r="A9" s="46" t="s">
        <v>13</v>
      </c>
      <c r="B9" s="50">
        <v>20</v>
      </c>
      <c r="C9" s="51">
        <v>120</v>
      </c>
      <c r="D9" s="51">
        <f t="shared" si="0"/>
        <v>240</v>
      </c>
    </row>
    <row r="10" spans="1:4" x14ac:dyDescent="0.3">
      <c r="A10" s="46" t="s">
        <v>14</v>
      </c>
      <c r="B10" s="50">
        <v>3</v>
      </c>
      <c r="C10" s="51">
        <v>70</v>
      </c>
      <c r="D10" s="51">
        <f t="shared" si="0"/>
        <v>70</v>
      </c>
    </row>
    <row r="11" spans="1:4" x14ac:dyDescent="0.3">
      <c r="A11" s="46" t="s">
        <v>15</v>
      </c>
      <c r="B11" s="50">
        <v>5</v>
      </c>
      <c r="C11" s="51">
        <v>50</v>
      </c>
      <c r="D11" s="51">
        <f t="shared" si="0"/>
        <v>50</v>
      </c>
    </row>
    <row r="12" spans="1:4" x14ac:dyDescent="0.3">
      <c r="A12" s="46" t="s">
        <v>16</v>
      </c>
      <c r="B12" s="50">
        <v>7</v>
      </c>
      <c r="C12" s="51">
        <v>90</v>
      </c>
      <c r="D12" s="51">
        <f t="shared" si="0"/>
        <v>135</v>
      </c>
    </row>
    <row r="13" spans="1:4" x14ac:dyDescent="0.3">
      <c r="A13" s="46" t="s">
        <v>17</v>
      </c>
      <c r="B13" s="50">
        <v>13</v>
      </c>
      <c r="C13" s="51">
        <v>35</v>
      </c>
      <c r="D13" s="51">
        <f t="shared" si="0"/>
        <v>70</v>
      </c>
    </row>
    <row r="14" spans="1:4" x14ac:dyDescent="0.3">
      <c r="A14" s="46" t="s">
        <v>18</v>
      </c>
      <c r="B14" s="50">
        <v>15</v>
      </c>
      <c r="C14" s="51">
        <v>180</v>
      </c>
      <c r="D14" s="51">
        <f t="shared" si="0"/>
        <v>360</v>
      </c>
    </row>
    <row r="15" spans="1:4" ht="15" customHeight="1" x14ac:dyDescent="0.3">
      <c r="A15" s="46" t="s">
        <v>19</v>
      </c>
      <c r="B15" s="50">
        <v>3</v>
      </c>
      <c r="C15" s="51">
        <v>95</v>
      </c>
      <c r="D15" s="51">
        <f t="shared" si="0"/>
        <v>95</v>
      </c>
    </row>
    <row r="16" spans="1:4" x14ac:dyDescent="0.3">
      <c r="A16" s="46" t="s">
        <v>20</v>
      </c>
      <c r="B16" s="50">
        <v>1</v>
      </c>
      <c r="C16" s="51">
        <v>115</v>
      </c>
      <c r="D16" s="51">
        <f t="shared" si="0"/>
        <v>115</v>
      </c>
    </row>
    <row r="17" spans="1:4" x14ac:dyDescent="0.3">
      <c r="A17" s="46" t="s">
        <v>21</v>
      </c>
      <c r="B17" s="50">
        <v>9</v>
      </c>
      <c r="C17" s="51">
        <v>20</v>
      </c>
      <c r="D17" s="5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"/>
  <sheetViews>
    <sheetView topLeftCell="A3" zoomScale="84" workbookViewId="0">
      <selection activeCell="K6" sqref="K6"/>
    </sheetView>
  </sheetViews>
  <sheetFormatPr defaultColWidth="15.88671875" defaultRowHeight="14.4" x14ac:dyDescent="0.3"/>
  <cols>
    <col min="1" max="6" width="14.109375" style="2" customWidth="1"/>
    <col min="7" max="16384" width="15.88671875" style="2"/>
  </cols>
  <sheetData>
    <row r="2" spans="1:6" x14ac:dyDescent="0.3">
      <c r="A2" s="7"/>
      <c r="B2" s="7"/>
      <c r="C2" s="61"/>
      <c r="D2" s="61"/>
      <c r="E2" s="61"/>
      <c r="F2" s="61"/>
    </row>
    <row r="3" spans="1:6" ht="43.2" x14ac:dyDescent="0.3">
      <c r="A3" s="59" t="s">
        <v>36</v>
      </c>
      <c r="B3" s="59" t="s">
        <v>22</v>
      </c>
      <c r="C3" s="6" t="s">
        <v>23</v>
      </c>
      <c r="D3" s="6" t="s">
        <v>24</v>
      </c>
      <c r="E3" s="6" t="s">
        <v>23</v>
      </c>
      <c r="F3" s="6" t="s">
        <v>25</v>
      </c>
    </row>
    <row r="4" spans="1:6" ht="12" customHeight="1" x14ac:dyDescent="0.3">
      <c r="A4" s="60"/>
      <c r="B4" s="60"/>
      <c r="C4" s="58">
        <v>1970</v>
      </c>
      <c r="D4" s="58"/>
      <c r="E4" s="58">
        <v>1989</v>
      </c>
      <c r="F4" s="58"/>
    </row>
    <row r="5" spans="1:6" ht="49.5" customHeight="1" x14ac:dyDescent="0.3">
      <c r="A5" s="4" t="s">
        <v>26</v>
      </c>
      <c r="B5" s="5">
        <v>8.5</v>
      </c>
      <c r="C5" s="5">
        <v>19</v>
      </c>
      <c r="D5" s="5">
        <v>2</v>
      </c>
      <c r="E5" s="5">
        <v>26</v>
      </c>
      <c r="F5" s="5">
        <v>3</v>
      </c>
    </row>
    <row r="6" spans="1:6" ht="49.5" customHeight="1" x14ac:dyDescent="0.3">
      <c r="A6" s="4" t="s">
        <v>27</v>
      </c>
      <c r="B6" s="5">
        <v>30.3</v>
      </c>
      <c r="C6" s="5">
        <v>361</v>
      </c>
      <c r="D6" s="5">
        <v>12</v>
      </c>
      <c r="E6" s="5">
        <v>628</v>
      </c>
      <c r="F6" s="5">
        <v>21</v>
      </c>
    </row>
    <row r="7" spans="1:6" ht="49.5" customHeight="1" x14ac:dyDescent="0.3">
      <c r="A7" s="4" t="s">
        <v>28</v>
      </c>
      <c r="B7" s="5">
        <v>17.8</v>
      </c>
      <c r="C7" s="5">
        <v>190</v>
      </c>
      <c r="D7" s="5">
        <v>11</v>
      </c>
      <c r="E7" s="5">
        <v>291</v>
      </c>
      <c r="F7" s="5">
        <v>16</v>
      </c>
    </row>
    <row r="8" spans="1:6" ht="49.5" customHeight="1" x14ac:dyDescent="0.3">
      <c r="A8" s="4" t="s">
        <v>29</v>
      </c>
      <c r="B8" s="5">
        <v>24.3</v>
      </c>
      <c r="C8" s="5">
        <v>320</v>
      </c>
      <c r="D8" s="5">
        <v>13</v>
      </c>
      <c r="E8" s="5">
        <v>422</v>
      </c>
      <c r="F8" s="5">
        <v>17</v>
      </c>
    </row>
    <row r="9" spans="1:6" ht="49.5" customHeight="1" x14ac:dyDescent="0.3">
      <c r="A9" s="4" t="s">
        <v>30</v>
      </c>
      <c r="B9" s="5">
        <v>44.4</v>
      </c>
      <c r="C9" s="5">
        <v>2161</v>
      </c>
      <c r="D9" s="5">
        <v>49</v>
      </c>
      <c r="E9" s="5">
        <v>3133</v>
      </c>
      <c r="F9" s="5">
        <v>71</v>
      </c>
    </row>
    <row r="10" spans="1:6" ht="49.5" customHeight="1" x14ac:dyDescent="0.3">
      <c r="A10" s="4" t="s">
        <v>31</v>
      </c>
      <c r="B10" s="5">
        <v>10.5</v>
      </c>
      <c r="C10" s="5">
        <v>642</v>
      </c>
      <c r="D10" s="5">
        <v>61</v>
      </c>
      <c r="E10" s="5">
        <v>701</v>
      </c>
      <c r="F10" s="5">
        <v>67</v>
      </c>
    </row>
    <row r="11" spans="1:6" ht="49.5" customHeight="1" x14ac:dyDescent="0.3">
      <c r="A11" s="4" t="s">
        <v>32</v>
      </c>
      <c r="B11" s="5">
        <v>135.80000000000001</v>
      </c>
      <c r="C11" s="5">
        <v>3693</v>
      </c>
      <c r="D11" s="5">
        <v>27</v>
      </c>
      <c r="E11" s="5">
        <v>5201</v>
      </c>
      <c r="F11" s="5">
        <v>38</v>
      </c>
    </row>
    <row r="12" spans="1:6" ht="49.5" customHeight="1" x14ac:dyDescent="0.3">
      <c r="A12" s="42" t="s">
        <v>33</v>
      </c>
      <c r="B12" s="43">
        <f>SUM(B5:B11)</f>
        <v>271.60000000000002</v>
      </c>
      <c r="C12" s="43" t="s">
        <v>34</v>
      </c>
      <c r="D12" s="43">
        <f>MIN(D5:D11)</f>
        <v>2</v>
      </c>
      <c r="E12" s="43" t="s">
        <v>34</v>
      </c>
      <c r="F12" s="43">
        <f>MIN(F5:F11)</f>
        <v>3</v>
      </c>
    </row>
    <row r="13" spans="1:6" ht="49.8" customHeight="1" x14ac:dyDescent="0.3">
      <c r="A13" s="56"/>
      <c r="B13" s="57"/>
      <c r="C13" s="43" t="s">
        <v>35</v>
      </c>
      <c r="D13" s="43">
        <f>MAX(D6:D12)</f>
        <v>61</v>
      </c>
      <c r="E13" s="43" t="s">
        <v>35</v>
      </c>
      <c r="F13" s="43">
        <f>MAX(F6:F12)</f>
        <v>71</v>
      </c>
    </row>
  </sheetData>
  <mergeCells count="7">
    <mergeCell ref="C2:D2"/>
    <mergeCell ref="E2:F2"/>
    <mergeCell ref="A13:B13"/>
    <mergeCell ref="C4:D4"/>
    <mergeCell ref="E4:F4"/>
    <mergeCell ref="A3:A4"/>
    <mergeCell ref="B3:B4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zoomScale="64" zoomScaleNormal="71" workbookViewId="0">
      <selection activeCell="G66" sqref="G66"/>
    </sheetView>
  </sheetViews>
  <sheetFormatPr defaultColWidth="9.6640625" defaultRowHeight="14.4" x14ac:dyDescent="0.3"/>
  <cols>
    <col min="1" max="1" width="14.33203125" style="2" bestFit="1" customWidth="1"/>
    <col min="2" max="2" width="9.109375" style="2" bestFit="1" customWidth="1"/>
    <col min="3" max="3" width="10.6640625" style="2" bestFit="1" customWidth="1"/>
    <col min="4" max="4" width="13.109375" style="2" bestFit="1" customWidth="1"/>
    <col min="5" max="5" width="11.5546875" style="2" bestFit="1" customWidth="1"/>
    <col min="6" max="6" width="16.5546875" style="2" bestFit="1" customWidth="1"/>
    <col min="7" max="7" width="13.109375" style="2" customWidth="1"/>
    <col min="8" max="9" width="9.6640625" style="2"/>
    <col min="10" max="10" width="25.109375" style="2" customWidth="1"/>
    <col min="11" max="16384" width="9.6640625" style="2"/>
  </cols>
  <sheetData>
    <row r="1" spans="1:10" ht="18" x14ac:dyDescent="0.3">
      <c r="A1" s="62" t="s">
        <v>55</v>
      </c>
      <c r="B1" s="63"/>
      <c r="C1" s="63"/>
      <c r="D1" s="63"/>
      <c r="E1" s="63"/>
      <c r="F1" s="63"/>
      <c r="G1" s="63"/>
    </row>
    <row r="2" spans="1:10" ht="14.25" customHeight="1" x14ac:dyDescent="0.3">
      <c r="A2" s="12" t="s">
        <v>56</v>
      </c>
      <c r="B2" s="25">
        <v>0.73061020569892843</v>
      </c>
    </row>
    <row r="3" spans="1:10" x14ac:dyDescent="0.3">
      <c r="A3" s="12" t="s">
        <v>57</v>
      </c>
      <c r="B3" s="25">
        <v>0.2</v>
      </c>
    </row>
    <row r="4" spans="1:10" x14ac:dyDescent="0.3">
      <c r="A4" s="8" t="s">
        <v>49</v>
      </c>
      <c r="B4" s="8" t="s">
        <v>50</v>
      </c>
      <c r="C4" s="8" t="s">
        <v>51</v>
      </c>
      <c r="D4" s="8" t="s">
        <v>52</v>
      </c>
      <c r="E4" s="8" t="s">
        <v>53</v>
      </c>
      <c r="F4" s="8" t="s">
        <v>54</v>
      </c>
      <c r="G4" s="13" t="s">
        <v>48</v>
      </c>
      <c r="J4" s="2" t="s">
        <v>106</v>
      </c>
    </row>
    <row r="5" spans="1:10" x14ac:dyDescent="0.3">
      <c r="A5" s="11">
        <v>35125</v>
      </c>
      <c r="B5" s="5" t="s">
        <v>45</v>
      </c>
      <c r="C5" s="9">
        <v>20</v>
      </c>
      <c r="D5" s="9">
        <f t="shared" ref="D5:D36" si="0">C5*$B$2</f>
        <v>14.612204113978569</v>
      </c>
      <c r="E5" s="5">
        <v>17</v>
      </c>
      <c r="F5" s="9">
        <f t="shared" ref="F5:F36" si="1">(C5+D5)*E5*(1+$B$3)</f>
        <v>706.08896392516283</v>
      </c>
      <c r="G5" s="14">
        <f>F5-C5*E5</f>
        <v>366.08896392516283</v>
      </c>
      <c r="I5" s="44"/>
    </row>
    <row r="6" spans="1:10" x14ac:dyDescent="0.3">
      <c r="A6" s="11">
        <v>35125</v>
      </c>
      <c r="B6" s="5" t="s">
        <v>37</v>
      </c>
      <c r="C6" s="9">
        <v>36</v>
      </c>
      <c r="D6" s="9">
        <f t="shared" si="0"/>
        <v>26.301967405161424</v>
      </c>
      <c r="E6" s="5">
        <v>50</v>
      </c>
      <c r="F6" s="9">
        <f t="shared" si="1"/>
        <v>3738.118044309685</v>
      </c>
      <c r="G6" s="14">
        <f t="shared" ref="G6:G64" si="2">F6-C6*E6</f>
        <v>1938.118044309685</v>
      </c>
    </row>
    <row r="7" spans="1:10" x14ac:dyDescent="0.3">
      <c r="A7" s="11">
        <v>35125</v>
      </c>
      <c r="B7" s="5" t="s">
        <v>44</v>
      </c>
      <c r="C7" s="9">
        <v>56</v>
      </c>
      <c r="D7" s="9">
        <f t="shared" si="0"/>
        <v>40.914171519139991</v>
      </c>
      <c r="E7" s="5">
        <v>58</v>
      </c>
      <c r="F7" s="9">
        <f t="shared" si="1"/>
        <v>6745.2263377321433</v>
      </c>
      <c r="G7" s="14">
        <f t="shared" si="2"/>
        <v>3497.2263377321433</v>
      </c>
    </row>
    <row r="8" spans="1:10" x14ac:dyDescent="0.3">
      <c r="A8" s="11">
        <v>35125</v>
      </c>
      <c r="B8" s="5" t="s">
        <v>41</v>
      </c>
      <c r="C8" s="9">
        <v>60</v>
      </c>
      <c r="D8" s="9">
        <f t="shared" si="0"/>
        <v>43.836612341935705</v>
      </c>
      <c r="E8" s="5">
        <v>77</v>
      </c>
      <c r="F8" s="9">
        <f t="shared" si="1"/>
        <v>9594.5029803948582</v>
      </c>
      <c r="G8" s="14">
        <f t="shared" si="2"/>
        <v>4974.5029803948582</v>
      </c>
    </row>
    <row r="9" spans="1:10" x14ac:dyDescent="0.3">
      <c r="A9" s="11">
        <v>35125</v>
      </c>
      <c r="B9" s="5" t="s">
        <v>41</v>
      </c>
      <c r="C9" s="9">
        <v>90</v>
      </c>
      <c r="D9" s="9">
        <f t="shared" si="0"/>
        <v>65.754918512903558</v>
      </c>
      <c r="E9" s="5">
        <v>87</v>
      </c>
      <c r="F9" s="9">
        <f t="shared" si="1"/>
        <v>16260.813492747129</v>
      </c>
      <c r="G9" s="14">
        <f t="shared" si="2"/>
        <v>8430.8134927471292</v>
      </c>
    </row>
    <row r="10" spans="1:10" x14ac:dyDescent="0.3">
      <c r="A10" s="11">
        <v>35125</v>
      </c>
      <c r="B10" s="5" t="s">
        <v>46</v>
      </c>
      <c r="C10" s="9">
        <v>59</v>
      </c>
      <c r="D10" s="9">
        <f t="shared" si="0"/>
        <v>43.106002136236775</v>
      </c>
      <c r="E10" s="5">
        <v>118</v>
      </c>
      <c r="F10" s="9">
        <f t="shared" si="1"/>
        <v>14458.209902491128</v>
      </c>
      <c r="G10" s="14">
        <f t="shared" si="2"/>
        <v>7496.2099024911277</v>
      </c>
    </row>
    <row r="11" spans="1:10" x14ac:dyDescent="0.3">
      <c r="A11" s="11">
        <v>35125</v>
      </c>
      <c r="B11" s="5" t="s">
        <v>41</v>
      </c>
      <c r="C11" s="9">
        <v>56</v>
      </c>
      <c r="D11" s="9">
        <f t="shared" si="0"/>
        <v>40.914171519139991</v>
      </c>
      <c r="E11" s="5">
        <v>127</v>
      </c>
      <c r="F11" s="9">
        <f t="shared" si="1"/>
        <v>14769.719739516933</v>
      </c>
      <c r="G11" s="14">
        <f t="shared" si="2"/>
        <v>7657.7197395169333</v>
      </c>
    </row>
    <row r="12" spans="1:10" x14ac:dyDescent="0.3">
      <c r="A12" s="11">
        <v>35125</v>
      </c>
      <c r="B12" s="5" t="s">
        <v>42</v>
      </c>
      <c r="C12" s="9">
        <v>64</v>
      </c>
      <c r="D12" s="9">
        <f t="shared" si="0"/>
        <v>46.759053164731419</v>
      </c>
      <c r="E12" s="5">
        <v>130</v>
      </c>
      <c r="F12" s="9">
        <f t="shared" si="1"/>
        <v>17278.4122936981</v>
      </c>
      <c r="G12" s="14">
        <f t="shared" si="2"/>
        <v>8958.4122936981003</v>
      </c>
    </row>
    <row r="13" spans="1:10" x14ac:dyDescent="0.3">
      <c r="A13" s="11">
        <v>35125</v>
      </c>
      <c r="B13" s="5" t="s">
        <v>46</v>
      </c>
      <c r="C13" s="9">
        <v>25</v>
      </c>
      <c r="D13" s="9">
        <f t="shared" si="0"/>
        <v>18.265255142473212</v>
      </c>
      <c r="E13" s="5">
        <v>210</v>
      </c>
      <c r="F13" s="9">
        <f t="shared" si="1"/>
        <v>10902.844295903249</v>
      </c>
      <c r="G13" s="14">
        <f t="shared" si="2"/>
        <v>5652.8442959032491</v>
      </c>
    </row>
    <row r="14" spans="1:10" x14ac:dyDescent="0.3">
      <c r="A14" s="11">
        <v>35125</v>
      </c>
      <c r="B14" s="5" t="s">
        <v>37</v>
      </c>
      <c r="C14" s="9">
        <v>83</v>
      </c>
      <c r="D14" s="9">
        <f t="shared" si="0"/>
        <v>60.64064707301106</v>
      </c>
      <c r="E14" s="5">
        <v>297</v>
      </c>
      <c r="F14" s="9">
        <f t="shared" si="1"/>
        <v>51193.526616821138</v>
      </c>
      <c r="G14" s="14">
        <f t="shared" si="2"/>
        <v>26542.526616821138</v>
      </c>
    </row>
    <row r="15" spans="1:10" x14ac:dyDescent="0.3">
      <c r="A15" s="11">
        <v>35311</v>
      </c>
      <c r="B15" s="5" t="s">
        <v>44</v>
      </c>
      <c r="C15" s="9">
        <v>92</v>
      </c>
      <c r="D15" s="9">
        <f t="shared" si="0"/>
        <v>67.216138924301418</v>
      </c>
      <c r="E15" s="5">
        <v>44</v>
      </c>
      <c r="F15" s="9">
        <f t="shared" si="1"/>
        <v>8406.612135203115</v>
      </c>
      <c r="G15" s="14">
        <f t="shared" si="2"/>
        <v>4358.612135203115</v>
      </c>
    </row>
    <row r="16" spans="1:10" x14ac:dyDescent="0.3">
      <c r="A16" s="11">
        <v>35311</v>
      </c>
      <c r="B16" s="5" t="s">
        <v>41</v>
      </c>
      <c r="C16" s="9">
        <v>75</v>
      </c>
      <c r="D16" s="9">
        <f t="shared" si="0"/>
        <v>54.795765427419632</v>
      </c>
      <c r="E16" s="5">
        <v>49</v>
      </c>
      <c r="F16" s="9">
        <f t="shared" si="1"/>
        <v>7631.9910071322747</v>
      </c>
      <c r="G16" s="14">
        <f t="shared" si="2"/>
        <v>3956.9910071322747</v>
      </c>
    </row>
    <row r="17" spans="1:7" x14ac:dyDescent="0.3">
      <c r="A17" s="11">
        <v>35311</v>
      </c>
      <c r="B17" s="5" t="s">
        <v>41</v>
      </c>
      <c r="C17" s="9">
        <v>67</v>
      </c>
      <c r="D17" s="9">
        <f t="shared" si="0"/>
        <v>48.950883781828203</v>
      </c>
      <c r="E17" s="5">
        <v>66</v>
      </c>
      <c r="F17" s="9">
        <f t="shared" si="1"/>
        <v>9183.3099955207927</v>
      </c>
      <c r="G17" s="14">
        <f t="shared" si="2"/>
        <v>4761.3099955207927</v>
      </c>
    </row>
    <row r="18" spans="1:7" x14ac:dyDescent="0.3">
      <c r="A18" s="11">
        <v>35311</v>
      </c>
      <c r="B18" s="5" t="s">
        <v>44</v>
      </c>
      <c r="C18" s="9">
        <v>74</v>
      </c>
      <c r="D18" s="9">
        <f t="shared" si="0"/>
        <v>54.065155221720701</v>
      </c>
      <c r="E18" s="5">
        <v>68</v>
      </c>
      <c r="F18" s="9">
        <f t="shared" si="1"/>
        <v>10450.116666092408</v>
      </c>
      <c r="G18" s="14">
        <f t="shared" si="2"/>
        <v>5418.1166660924082</v>
      </c>
    </row>
    <row r="19" spans="1:7" x14ac:dyDescent="0.3">
      <c r="A19" s="11">
        <v>35311</v>
      </c>
      <c r="B19" s="5" t="s">
        <v>40</v>
      </c>
      <c r="C19" s="9">
        <v>58</v>
      </c>
      <c r="D19" s="9">
        <f t="shared" si="0"/>
        <v>42.375391930537852</v>
      </c>
      <c r="E19" s="5">
        <v>77</v>
      </c>
      <c r="F19" s="9">
        <f t="shared" si="1"/>
        <v>9274.6862143816979</v>
      </c>
      <c r="G19" s="14">
        <f t="shared" si="2"/>
        <v>4808.6862143816979</v>
      </c>
    </row>
    <row r="20" spans="1:7" x14ac:dyDescent="0.3">
      <c r="A20" s="11">
        <v>35311</v>
      </c>
      <c r="B20" s="5" t="s">
        <v>43</v>
      </c>
      <c r="C20" s="9">
        <v>36</v>
      </c>
      <c r="D20" s="9">
        <f t="shared" si="0"/>
        <v>26.301967405161424</v>
      </c>
      <c r="E20" s="5">
        <v>148</v>
      </c>
      <c r="F20" s="9">
        <f t="shared" si="1"/>
        <v>11064.829411156667</v>
      </c>
      <c r="G20" s="14">
        <f t="shared" si="2"/>
        <v>5736.8294111566665</v>
      </c>
    </row>
    <row r="21" spans="1:7" x14ac:dyDescent="0.3">
      <c r="A21" s="11">
        <v>35311</v>
      </c>
      <c r="B21" s="5" t="s">
        <v>42</v>
      </c>
      <c r="C21" s="9">
        <v>67</v>
      </c>
      <c r="D21" s="9">
        <f t="shared" si="0"/>
        <v>48.950883781828203</v>
      </c>
      <c r="E21" s="5">
        <v>153</v>
      </c>
      <c r="F21" s="9">
        <f t="shared" si="1"/>
        <v>21288.582262343654</v>
      </c>
      <c r="G21" s="14">
        <f t="shared" si="2"/>
        <v>11037.582262343654</v>
      </c>
    </row>
    <row r="22" spans="1:7" x14ac:dyDescent="0.3">
      <c r="A22" s="11">
        <v>35311</v>
      </c>
      <c r="B22" s="5" t="s">
        <v>46</v>
      </c>
      <c r="C22" s="9">
        <v>23</v>
      </c>
      <c r="D22" s="9">
        <f t="shared" si="0"/>
        <v>16.804034731075355</v>
      </c>
      <c r="E22" s="5">
        <v>155</v>
      </c>
      <c r="F22" s="9">
        <f t="shared" si="1"/>
        <v>7403.5504599800161</v>
      </c>
      <c r="G22" s="14">
        <f t="shared" si="2"/>
        <v>3838.5504599800161</v>
      </c>
    </row>
    <row r="23" spans="1:7" x14ac:dyDescent="0.3">
      <c r="A23" s="11">
        <v>35311</v>
      </c>
      <c r="B23" s="5" t="s">
        <v>43</v>
      </c>
      <c r="C23" s="9">
        <v>56</v>
      </c>
      <c r="D23" s="9">
        <f t="shared" si="0"/>
        <v>40.914171519139991</v>
      </c>
      <c r="E23" s="5">
        <v>194</v>
      </c>
      <c r="F23" s="9">
        <f t="shared" si="1"/>
        <v>22561.619129655788</v>
      </c>
      <c r="G23" s="14">
        <f t="shared" si="2"/>
        <v>11697.619129655788</v>
      </c>
    </row>
    <row r="24" spans="1:7" x14ac:dyDescent="0.3">
      <c r="A24" s="11">
        <v>35311</v>
      </c>
      <c r="B24" s="5" t="s">
        <v>44</v>
      </c>
      <c r="C24" s="9">
        <v>54</v>
      </c>
      <c r="D24" s="9">
        <f t="shared" si="0"/>
        <v>39.452951107742138</v>
      </c>
      <c r="E24" s="5">
        <v>269</v>
      </c>
      <c r="F24" s="9">
        <f t="shared" si="1"/>
        <v>30166.612617579161</v>
      </c>
      <c r="G24" s="14">
        <f t="shared" si="2"/>
        <v>15640.612617579161</v>
      </c>
    </row>
    <row r="25" spans="1:7" x14ac:dyDescent="0.3">
      <c r="A25" s="11">
        <v>35462</v>
      </c>
      <c r="B25" s="5" t="s">
        <v>38</v>
      </c>
      <c r="C25" s="9">
        <v>21</v>
      </c>
      <c r="D25" s="9">
        <f t="shared" si="0"/>
        <v>15.342814319677498</v>
      </c>
      <c r="E25" s="5">
        <v>40</v>
      </c>
      <c r="F25" s="9">
        <f t="shared" si="1"/>
        <v>1744.4550873445201</v>
      </c>
      <c r="G25" s="14">
        <f t="shared" si="2"/>
        <v>904.45508734452005</v>
      </c>
    </row>
    <row r="26" spans="1:7" x14ac:dyDescent="0.3">
      <c r="A26" s="11">
        <v>35462</v>
      </c>
      <c r="B26" s="5" t="s">
        <v>44</v>
      </c>
      <c r="C26" s="9">
        <v>46</v>
      </c>
      <c r="D26" s="9">
        <f t="shared" si="0"/>
        <v>33.608069462150709</v>
      </c>
      <c r="E26" s="5">
        <v>59</v>
      </c>
      <c r="F26" s="9">
        <f t="shared" si="1"/>
        <v>5636.2513179202697</v>
      </c>
      <c r="G26" s="14">
        <f t="shared" si="2"/>
        <v>2922.2513179202697</v>
      </c>
    </row>
    <row r="27" spans="1:7" x14ac:dyDescent="0.3">
      <c r="A27" s="11">
        <v>35462</v>
      </c>
      <c r="B27" s="5" t="s">
        <v>38</v>
      </c>
      <c r="C27" s="9">
        <v>46</v>
      </c>
      <c r="D27" s="9">
        <f t="shared" si="0"/>
        <v>33.608069462150709</v>
      </c>
      <c r="E27" s="5">
        <v>149</v>
      </c>
      <c r="F27" s="9">
        <f t="shared" si="1"/>
        <v>14233.922819832545</v>
      </c>
      <c r="G27" s="14">
        <f t="shared" si="2"/>
        <v>7379.9228198325454</v>
      </c>
    </row>
    <row r="28" spans="1:7" x14ac:dyDescent="0.3">
      <c r="A28" s="11">
        <v>35462</v>
      </c>
      <c r="B28" s="5" t="s">
        <v>42</v>
      </c>
      <c r="C28" s="9">
        <v>21</v>
      </c>
      <c r="D28" s="9">
        <f t="shared" si="0"/>
        <v>15.342814319677498</v>
      </c>
      <c r="E28" s="5">
        <v>165</v>
      </c>
      <c r="F28" s="9">
        <f t="shared" si="1"/>
        <v>7195.877235296145</v>
      </c>
      <c r="G28" s="14">
        <f t="shared" si="2"/>
        <v>3730.877235296145</v>
      </c>
    </row>
    <row r="29" spans="1:7" x14ac:dyDescent="0.3">
      <c r="A29" s="11">
        <v>35462</v>
      </c>
      <c r="B29" s="5" t="s">
        <v>40</v>
      </c>
      <c r="C29" s="9">
        <v>62</v>
      </c>
      <c r="D29" s="9">
        <f t="shared" si="0"/>
        <v>45.297832753333566</v>
      </c>
      <c r="E29" s="5">
        <v>175</v>
      </c>
      <c r="F29" s="9">
        <f t="shared" si="1"/>
        <v>22532.544878200046</v>
      </c>
      <c r="G29" s="14">
        <f t="shared" si="2"/>
        <v>11682.544878200046</v>
      </c>
    </row>
    <row r="30" spans="1:7" x14ac:dyDescent="0.3">
      <c r="A30" s="11">
        <v>35462</v>
      </c>
      <c r="B30" s="5" t="s">
        <v>41</v>
      </c>
      <c r="C30" s="9">
        <v>29</v>
      </c>
      <c r="D30" s="9">
        <f t="shared" si="0"/>
        <v>21.187695965268926</v>
      </c>
      <c r="E30" s="5">
        <v>230</v>
      </c>
      <c r="F30" s="9">
        <f t="shared" si="1"/>
        <v>13851.804086414224</v>
      </c>
      <c r="G30" s="14">
        <f t="shared" si="2"/>
        <v>7181.804086414224</v>
      </c>
    </row>
    <row r="31" spans="1:7" x14ac:dyDescent="0.3">
      <c r="A31" s="11">
        <v>35462</v>
      </c>
      <c r="B31" s="5" t="s">
        <v>38</v>
      </c>
      <c r="C31" s="9">
        <v>88</v>
      </c>
      <c r="D31" s="9">
        <f t="shared" si="0"/>
        <v>64.293698101505697</v>
      </c>
      <c r="E31" s="5">
        <v>233</v>
      </c>
      <c r="F31" s="9">
        <f t="shared" si="1"/>
        <v>42581.317989180992</v>
      </c>
      <c r="G31" s="14">
        <f t="shared" si="2"/>
        <v>22077.317989180992</v>
      </c>
    </row>
    <row r="32" spans="1:7" x14ac:dyDescent="0.3">
      <c r="A32" s="11">
        <v>35462</v>
      </c>
      <c r="B32" s="5" t="s">
        <v>41</v>
      </c>
      <c r="C32" s="9">
        <v>45</v>
      </c>
      <c r="D32" s="9">
        <f t="shared" si="0"/>
        <v>32.877459256451779</v>
      </c>
      <c r="E32" s="5">
        <v>237</v>
      </c>
      <c r="F32" s="9">
        <f t="shared" si="1"/>
        <v>22148.349412534884</v>
      </c>
      <c r="G32" s="14">
        <f t="shared" si="2"/>
        <v>11483.349412534884</v>
      </c>
    </row>
    <row r="33" spans="1:7" x14ac:dyDescent="0.3">
      <c r="A33" s="11">
        <v>35462</v>
      </c>
      <c r="B33" s="5" t="s">
        <v>43</v>
      </c>
      <c r="C33" s="9">
        <v>56</v>
      </c>
      <c r="D33" s="9">
        <f t="shared" si="0"/>
        <v>40.914171519139991</v>
      </c>
      <c r="E33" s="5">
        <v>242</v>
      </c>
      <c r="F33" s="9">
        <f t="shared" si="1"/>
        <v>28143.875409158252</v>
      </c>
      <c r="G33" s="14">
        <f t="shared" si="2"/>
        <v>14591.875409158252</v>
      </c>
    </row>
    <row r="34" spans="1:7" x14ac:dyDescent="0.3">
      <c r="A34" s="11">
        <v>35462</v>
      </c>
      <c r="B34" s="5" t="s">
        <v>43</v>
      </c>
      <c r="C34" s="9">
        <v>35</v>
      </c>
      <c r="D34" s="9">
        <f t="shared" si="0"/>
        <v>25.571357199462494</v>
      </c>
      <c r="E34" s="5">
        <v>259</v>
      </c>
      <c r="F34" s="9">
        <f t="shared" si="1"/>
        <v>18825.577817592944</v>
      </c>
      <c r="G34" s="14">
        <f t="shared" si="2"/>
        <v>9760.5778175929445</v>
      </c>
    </row>
    <row r="35" spans="1:7" x14ac:dyDescent="0.3">
      <c r="A35" s="11">
        <v>35551</v>
      </c>
      <c r="B35" s="5" t="s">
        <v>41</v>
      </c>
      <c r="C35" s="9">
        <v>77</v>
      </c>
      <c r="D35" s="9">
        <f t="shared" si="0"/>
        <v>56.256985838817492</v>
      </c>
      <c r="E35" s="5">
        <v>20</v>
      </c>
      <c r="F35" s="9">
        <f t="shared" si="1"/>
        <v>3198.1676601316199</v>
      </c>
      <c r="G35" s="14">
        <f t="shared" si="2"/>
        <v>1658.1676601316199</v>
      </c>
    </row>
    <row r="36" spans="1:7" x14ac:dyDescent="0.3">
      <c r="A36" s="11">
        <v>35551</v>
      </c>
      <c r="B36" s="5" t="s">
        <v>39</v>
      </c>
      <c r="C36" s="9">
        <v>33</v>
      </c>
      <c r="D36" s="9">
        <f t="shared" si="0"/>
        <v>24.110136788064636</v>
      </c>
      <c r="E36" s="5">
        <v>36</v>
      </c>
      <c r="F36" s="9">
        <f t="shared" si="1"/>
        <v>2467.1579092443922</v>
      </c>
      <c r="G36" s="14">
        <f t="shared" si="2"/>
        <v>1279.1579092443922</v>
      </c>
    </row>
    <row r="37" spans="1:7" x14ac:dyDescent="0.3">
      <c r="A37" s="11">
        <v>35551</v>
      </c>
      <c r="B37" s="5" t="s">
        <v>45</v>
      </c>
      <c r="C37" s="9">
        <v>97</v>
      </c>
      <c r="D37" s="9">
        <f t="shared" ref="D37:D64" si="3">C37*$B$2</f>
        <v>70.869189952796063</v>
      </c>
      <c r="E37" s="5">
        <v>50</v>
      </c>
      <c r="F37" s="9">
        <f t="shared" ref="F37:F64" si="4">(C37+D37)*E37*(1+$B$3)</f>
        <v>10072.151397167765</v>
      </c>
      <c r="G37" s="14">
        <f t="shared" si="2"/>
        <v>5222.151397167765</v>
      </c>
    </row>
    <row r="38" spans="1:7" x14ac:dyDescent="0.3">
      <c r="A38" s="11">
        <v>35551</v>
      </c>
      <c r="B38" s="5" t="s">
        <v>37</v>
      </c>
      <c r="C38" s="9">
        <v>39</v>
      </c>
      <c r="D38" s="9">
        <f t="shared" si="3"/>
        <v>28.493798022258208</v>
      </c>
      <c r="E38" s="5">
        <v>65</v>
      </c>
      <c r="F38" s="9">
        <f t="shared" si="4"/>
        <v>5264.5162457361403</v>
      </c>
      <c r="G38" s="14">
        <f t="shared" si="2"/>
        <v>2729.5162457361403</v>
      </c>
    </row>
    <row r="39" spans="1:7" x14ac:dyDescent="0.3">
      <c r="A39" s="11">
        <v>35551</v>
      </c>
      <c r="B39" s="5" t="s">
        <v>39</v>
      </c>
      <c r="C39" s="9">
        <v>33</v>
      </c>
      <c r="D39" s="9">
        <f t="shared" si="3"/>
        <v>24.110136788064636</v>
      </c>
      <c r="E39" s="5">
        <v>179</v>
      </c>
      <c r="F39" s="9">
        <f t="shared" si="4"/>
        <v>12267.257382076285</v>
      </c>
      <c r="G39" s="14">
        <f t="shared" si="2"/>
        <v>6360.2573820762846</v>
      </c>
    </row>
    <row r="40" spans="1:7" x14ac:dyDescent="0.3">
      <c r="A40" s="11">
        <v>35551</v>
      </c>
      <c r="B40" s="5" t="s">
        <v>42</v>
      </c>
      <c r="C40" s="9">
        <v>56</v>
      </c>
      <c r="D40" s="9">
        <f t="shared" si="3"/>
        <v>40.914171519139991</v>
      </c>
      <c r="E40" s="5">
        <v>188</v>
      </c>
      <c r="F40" s="9">
        <f t="shared" si="4"/>
        <v>21863.837094717979</v>
      </c>
      <c r="G40" s="14">
        <f t="shared" si="2"/>
        <v>11335.837094717979</v>
      </c>
    </row>
    <row r="41" spans="1:7" x14ac:dyDescent="0.3">
      <c r="A41" s="11">
        <v>35551</v>
      </c>
      <c r="B41" s="5" t="s">
        <v>40</v>
      </c>
      <c r="C41" s="9">
        <v>33</v>
      </c>
      <c r="D41" s="9">
        <f t="shared" si="3"/>
        <v>24.110136788064636</v>
      </c>
      <c r="E41" s="5">
        <v>195</v>
      </c>
      <c r="F41" s="9">
        <f t="shared" si="4"/>
        <v>13363.772008407124</v>
      </c>
      <c r="G41" s="14">
        <f t="shared" si="2"/>
        <v>6928.7720084071243</v>
      </c>
    </row>
    <row r="42" spans="1:7" x14ac:dyDescent="0.3">
      <c r="A42" s="11">
        <v>35551</v>
      </c>
      <c r="B42" s="5" t="s">
        <v>43</v>
      </c>
      <c r="C42" s="9">
        <v>89</v>
      </c>
      <c r="D42" s="9">
        <f t="shared" si="3"/>
        <v>65.024308307204635</v>
      </c>
      <c r="E42" s="5">
        <v>215</v>
      </c>
      <c r="F42" s="9">
        <f t="shared" si="4"/>
        <v>39738.271543258801</v>
      </c>
      <c r="G42" s="14">
        <f t="shared" si="2"/>
        <v>20603.271543258801</v>
      </c>
    </row>
    <row r="43" spans="1:7" x14ac:dyDescent="0.3">
      <c r="A43" s="11">
        <v>35551</v>
      </c>
      <c r="B43" s="5" t="s">
        <v>42</v>
      </c>
      <c r="C43" s="9">
        <v>82</v>
      </c>
      <c r="D43" s="9">
        <f t="shared" si="3"/>
        <v>59.91003686731213</v>
      </c>
      <c r="E43" s="5">
        <v>234</v>
      </c>
      <c r="F43" s="9">
        <f t="shared" si="4"/>
        <v>39848.338352341241</v>
      </c>
      <c r="G43" s="14">
        <f t="shared" si="2"/>
        <v>20660.338352341241</v>
      </c>
    </row>
    <row r="44" spans="1:7" x14ac:dyDescent="0.3">
      <c r="A44" s="11">
        <v>35551</v>
      </c>
      <c r="B44" s="5" t="s">
        <v>39</v>
      </c>
      <c r="C44" s="9">
        <v>39</v>
      </c>
      <c r="D44" s="9">
        <f t="shared" si="3"/>
        <v>28.493798022258208</v>
      </c>
      <c r="E44" s="5">
        <v>235</v>
      </c>
      <c r="F44" s="9">
        <f t="shared" si="4"/>
        <v>19033.251042276814</v>
      </c>
      <c r="G44" s="14">
        <f t="shared" si="2"/>
        <v>9868.2510422768137</v>
      </c>
    </row>
    <row r="45" spans="1:7" x14ac:dyDescent="0.3">
      <c r="A45" s="11">
        <v>35977</v>
      </c>
      <c r="B45" s="5" t="s">
        <v>42</v>
      </c>
      <c r="C45" s="9">
        <v>82</v>
      </c>
      <c r="D45" s="9">
        <f t="shared" si="3"/>
        <v>59.91003686731213</v>
      </c>
      <c r="E45" s="5">
        <v>40</v>
      </c>
      <c r="F45" s="9">
        <f t="shared" si="4"/>
        <v>6811.6817696309818</v>
      </c>
      <c r="G45" s="14">
        <f t="shared" si="2"/>
        <v>3531.6817696309818</v>
      </c>
    </row>
    <row r="46" spans="1:7" x14ac:dyDescent="0.3">
      <c r="A46" s="11">
        <v>35977</v>
      </c>
      <c r="B46" s="5" t="s">
        <v>38</v>
      </c>
      <c r="C46" s="9">
        <v>53</v>
      </c>
      <c r="D46" s="9">
        <f t="shared" si="3"/>
        <v>38.722340902043207</v>
      </c>
      <c r="E46" s="5">
        <v>43</v>
      </c>
      <c r="F46" s="9">
        <f t="shared" si="4"/>
        <v>4732.8727905454298</v>
      </c>
      <c r="G46" s="14">
        <f t="shared" si="2"/>
        <v>2453.8727905454298</v>
      </c>
    </row>
    <row r="47" spans="1:7" x14ac:dyDescent="0.3">
      <c r="A47" s="11">
        <v>35977</v>
      </c>
      <c r="B47" s="5" t="s">
        <v>42</v>
      </c>
      <c r="C47" s="9">
        <v>98</v>
      </c>
      <c r="D47" s="9">
        <f t="shared" si="3"/>
        <v>71.599800158494986</v>
      </c>
      <c r="E47" s="5">
        <v>58</v>
      </c>
      <c r="F47" s="9">
        <f t="shared" si="4"/>
        <v>11804.146091031251</v>
      </c>
      <c r="G47" s="14">
        <f t="shared" si="2"/>
        <v>6120.1460910312508</v>
      </c>
    </row>
    <row r="48" spans="1:7" x14ac:dyDescent="0.3">
      <c r="A48" s="11">
        <v>35977</v>
      </c>
      <c r="B48" s="5" t="s">
        <v>41</v>
      </c>
      <c r="C48" s="9">
        <v>44</v>
      </c>
      <c r="D48" s="9">
        <f t="shared" si="3"/>
        <v>32.146849050752849</v>
      </c>
      <c r="E48" s="5">
        <v>72</v>
      </c>
      <c r="F48" s="9">
        <f t="shared" si="4"/>
        <v>6579.0877579850458</v>
      </c>
      <c r="G48" s="14">
        <f t="shared" si="2"/>
        <v>3411.0877579850458</v>
      </c>
    </row>
    <row r="49" spans="1:7" x14ac:dyDescent="0.3">
      <c r="A49" s="11">
        <v>35977</v>
      </c>
      <c r="B49" s="5" t="s">
        <v>42</v>
      </c>
      <c r="C49" s="9">
        <v>36</v>
      </c>
      <c r="D49" s="9">
        <f t="shared" si="3"/>
        <v>26.301967405161424</v>
      </c>
      <c r="E49" s="5">
        <v>89</v>
      </c>
      <c r="F49" s="9">
        <f t="shared" si="4"/>
        <v>6653.8501188712389</v>
      </c>
      <c r="G49" s="14">
        <f t="shared" si="2"/>
        <v>3449.8501188712389</v>
      </c>
    </row>
    <row r="50" spans="1:7" x14ac:dyDescent="0.3">
      <c r="A50" s="11">
        <v>35977</v>
      </c>
      <c r="B50" s="5" t="s">
        <v>43</v>
      </c>
      <c r="C50" s="9">
        <v>35</v>
      </c>
      <c r="D50" s="9">
        <f t="shared" si="3"/>
        <v>25.571357199462494</v>
      </c>
      <c r="E50" s="5">
        <v>128</v>
      </c>
      <c r="F50" s="9">
        <f t="shared" si="4"/>
        <v>9303.7604658374385</v>
      </c>
      <c r="G50" s="14">
        <f t="shared" si="2"/>
        <v>4823.7604658374385</v>
      </c>
    </row>
    <row r="51" spans="1:7" x14ac:dyDescent="0.3">
      <c r="A51" s="11">
        <v>35977</v>
      </c>
      <c r="B51" s="5" t="s">
        <v>45</v>
      </c>
      <c r="C51" s="9">
        <v>79</v>
      </c>
      <c r="D51" s="9">
        <f t="shared" si="3"/>
        <v>57.718206250215346</v>
      </c>
      <c r="E51" s="5">
        <v>162</v>
      </c>
      <c r="F51" s="9">
        <f t="shared" si="4"/>
        <v>26578.019295041864</v>
      </c>
      <c r="G51" s="14">
        <f t="shared" si="2"/>
        <v>13780.019295041864</v>
      </c>
    </row>
    <row r="52" spans="1:7" x14ac:dyDescent="0.3">
      <c r="A52" s="11">
        <v>35977</v>
      </c>
      <c r="B52" s="5" t="s">
        <v>42</v>
      </c>
      <c r="C52" s="9">
        <v>94</v>
      </c>
      <c r="D52" s="9">
        <f t="shared" si="3"/>
        <v>68.677359335699279</v>
      </c>
      <c r="E52" s="5">
        <v>268</v>
      </c>
      <c r="F52" s="9">
        <f t="shared" si="4"/>
        <v>52317.038762360891</v>
      </c>
      <c r="G52" s="14">
        <f t="shared" si="2"/>
        <v>27125.038762360891</v>
      </c>
    </row>
    <row r="53" spans="1:7" x14ac:dyDescent="0.3">
      <c r="A53" s="11">
        <v>35977</v>
      </c>
      <c r="B53" s="5" t="s">
        <v>39</v>
      </c>
      <c r="C53" s="9">
        <v>64</v>
      </c>
      <c r="D53" s="9">
        <f t="shared" si="3"/>
        <v>46.759053164731419</v>
      </c>
      <c r="E53" s="5">
        <v>288</v>
      </c>
      <c r="F53" s="9">
        <f t="shared" si="4"/>
        <v>38278.328773731177</v>
      </c>
      <c r="G53" s="14">
        <f t="shared" si="2"/>
        <v>19846.328773731177</v>
      </c>
    </row>
    <row r="54" spans="1:7" x14ac:dyDescent="0.3">
      <c r="A54" s="11">
        <v>35977</v>
      </c>
      <c r="B54" s="5" t="s">
        <v>39</v>
      </c>
      <c r="C54" s="9">
        <v>39</v>
      </c>
      <c r="D54" s="9">
        <f t="shared" si="3"/>
        <v>28.493798022258208</v>
      </c>
      <c r="E54" s="5">
        <v>290</v>
      </c>
      <c r="F54" s="9">
        <f t="shared" si="4"/>
        <v>23487.841711745852</v>
      </c>
      <c r="G54" s="14">
        <f t="shared" si="2"/>
        <v>12177.841711745852</v>
      </c>
    </row>
    <row r="55" spans="1:7" x14ac:dyDescent="0.3">
      <c r="A55" s="11">
        <v>36100</v>
      </c>
      <c r="B55" s="5" t="s">
        <v>45</v>
      </c>
      <c r="C55" s="9">
        <v>46</v>
      </c>
      <c r="D55" s="9">
        <f t="shared" si="3"/>
        <v>33.608069462150709</v>
      </c>
      <c r="E55" s="5">
        <v>17</v>
      </c>
      <c r="F55" s="9">
        <f t="shared" si="4"/>
        <v>1624.0046170278745</v>
      </c>
      <c r="G55" s="14">
        <f t="shared" si="2"/>
        <v>842.00461702787447</v>
      </c>
    </row>
    <row r="56" spans="1:7" x14ac:dyDescent="0.3">
      <c r="A56" s="11">
        <v>36100</v>
      </c>
      <c r="B56" s="5" t="s">
        <v>44</v>
      </c>
      <c r="C56" s="9">
        <v>87</v>
      </c>
      <c r="D56" s="9">
        <f t="shared" si="3"/>
        <v>63.563087895806774</v>
      </c>
      <c r="E56" s="5">
        <v>18</v>
      </c>
      <c r="F56" s="9">
        <f t="shared" si="4"/>
        <v>3252.1626985494263</v>
      </c>
      <c r="G56" s="14">
        <f t="shared" si="2"/>
        <v>1686.1626985494263</v>
      </c>
    </row>
    <row r="57" spans="1:7" x14ac:dyDescent="0.3">
      <c r="A57" s="11">
        <v>36100</v>
      </c>
      <c r="B57" s="5" t="s">
        <v>38</v>
      </c>
      <c r="C57" s="9">
        <v>34</v>
      </c>
      <c r="D57" s="9">
        <f t="shared" si="3"/>
        <v>24.840746993763567</v>
      </c>
      <c r="E57" s="5">
        <v>24</v>
      </c>
      <c r="F57" s="9">
        <f t="shared" si="4"/>
        <v>1694.6135134203907</v>
      </c>
      <c r="G57" s="14">
        <f t="shared" si="2"/>
        <v>878.61351342039075</v>
      </c>
    </row>
    <row r="58" spans="1:7" x14ac:dyDescent="0.3">
      <c r="A58" s="11">
        <v>36100</v>
      </c>
      <c r="B58" s="5" t="s">
        <v>38</v>
      </c>
      <c r="C58" s="9">
        <v>71</v>
      </c>
      <c r="D58" s="9">
        <f t="shared" si="3"/>
        <v>51.873324604623917</v>
      </c>
      <c r="E58" s="5">
        <v>32</v>
      </c>
      <c r="F58" s="9">
        <f t="shared" si="4"/>
        <v>4718.3356648175586</v>
      </c>
      <c r="G58" s="14">
        <f t="shared" si="2"/>
        <v>2446.3356648175586</v>
      </c>
    </row>
    <row r="59" spans="1:7" x14ac:dyDescent="0.3">
      <c r="A59" s="11">
        <v>36100</v>
      </c>
      <c r="B59" s="5" t="s">
        <v>40</v>
      </c>
      <c r="C59" s="9">
        <v>62</v>
      </c>
      <c r="D59" s="9">
        <f t="shared" si="3"/>
        <v>45.297832753333566</v>
      </c>
      <c r="E59" s="5">
        <v>32</v>
      </c>
      <c r="F59" s="9">
        <f t="shared" si="4"/>
        <v>4120.2367777280087</v>
      </c>
      <c r="G59" s="14">
        <f t="shared" si="2"/>
        <v>2136.2367777280087</v>
      </c>
    </row>
    <row r="60" spans="1:7" x14ac:dyDescent="0.3">
      <c r="A60" s="11">
        <v>36100</v>
      </c>
      <c r="B60" s="5" t="s">
        <v>46</v>
      </c>
      <c r="C60" s="9">
        <v>70</v>
      </c>
      <c r="D60" s="9">
        <f t="shared" si="3"/>
        <v>51.142714398924987</v>
      </c>
      <c r="E60" s="5">
        <v>67</v>
      </c>
      <c r="F60" s="9">
        <f t="shared" si="4"/>
        <v>9739.8742376735681</v>
      </c>
      <c r="G60" s="14">
        <f t="shared" si="2"/>
        <v>5049.8742376735681</v>
      </c>
    </row>
    <row r="61" spans="1:7" x14ac:dyDescent="0.3">
      <c r="A61" s="11">
        <v>36100</v>
      </c>
      <c r="B61" s="5" t="s">
        <v>44</v>
      </c>
      <c r="C61" s="9">
        <v>46</v>
      </c>
      <c r="D61" s="9">
        <f t="shared" si="3"/>
        <v>33.608069462150709</v>
      </c>
      <c r="E61" s="5">
        <v>140</v>
      </c>
      <c r="F61" s="9">
        <f t="shared" si="4"/>
        <v>13374.155669641319</v>
      </c>
      <c r="G61" s="14">
        <f t="shared" si="2"/>
        <v>6934.155669641319</v>
      </c>
    </row>
    <row r="62" spans="1:7" x14ac:dyDescent="0.3">
      <c r="A62" s="11">
        <v>36100</v>
      </c>
      <c r="B62" s="5" t="s">
        <v>46</v>
      </c>
      <c r="C62" s="9">
        <v>92</v>
      </c>
      <c r="D62" s="9">
        <f t="shared" si="3"/>
        <v>67.216138924301418</v>
      </c>
      <c r="E62" s="5">
        <v>151</v>
      </c>
      <c r="F62" s="9">
        <f t="shared" si="4"/>
        <v>28849.964373083414</v>
      </c>
      <c r="G62" s="14">
        <f t="shared" si="2"/>
        <v>14957.964373083414</v>
      </c>
    </row>
    <row r="63" spans="1:7" x14ac:dyDescent="0.3">
      <c r="A63" s="11">
        <v>36100</v>
      </c>
      <c r="B63" s="5" t="s">
        <v>42</v>
      </c>
      <c r="C63" s="9">
        <v>73</v>
      </c>
      <c r="D63" s="9">
        <f t="shared" si="3"/>
        <v>53.334545016021778</v>
      </c>
      <c r="E63" s="5">
        <v>231</v>
      </c>
      <c r="F63" s="9">
        <f t="shared" si="4"/>
        <v>35019.93587844124</v>
      </c>
      <c r="G63" s="14">
        <f t="shared" si="2"/>
        <v>18156.93587844124</v>
      </c>
    </row>
    <row r="64" spans="1:7" x14ac:dyDescent="0.3">
      <c r="A64" s="11">
        <v>36100</v>
      </c>
      <c r="B64" s="5" t="s">
        <v>41</v>
      </c>
      <c r="C64" s="9">
        <v>92</v>
      </c>
      <c r="D64" s="9">
        <f t="shared" si="3"/>
        <v>67.216138924301418</v>
      </c>
      <c r="E64" s="5">
        <v>253</v>
      </c>
      <c r="F64" s="15">
        <f t="shared" si="4"/>
        <v>48338.019777417903</v>
      </c>
      <c r="G64" s="14">
        <f t="shared" si="2"/>
        <v>25062.019777417903</v>
      </c>
    </row>
    <row r="65" spans="1:9" s="44" customFormat="1" x14ac:dyDescent="0.3">
      <c r="A65" s="55" t="s">
        <v>68</v>
      </c>
      <c r="B65" s="52"/>
      <c r="C65" s="53"/>
      <c r="D65" s="53"/>
      <c r="E65" s="52"/>
      <c r="F65" s="54"/>
      <c r="G65" s="14">
        <f>SUBTOTAL(9,G5:G64)</f>
        <v>500000.00000000006</v>
      </c>
    </row>
    <row r="66" spans="1:9" x14ac:dyDescent="0.3">
      <c r="A66" s="10"/>
      <c r="B66" s="10"/>
      <c r="C66" s="10"/>
      <c r="D66" s="10"/>
      <c r="F66" s="26" t="s">
        <v>47</v>
      </c>
      <c r="G66" s="14">
        <f>SUM(G5:G64)</f>
        <v>500000.00000000006</v>
      </c>
      <c r="I66" s="21"/>
    </row>
  </sheetData>
  <autoFilter ref="A4:G66">
    <sortState ref="A5:G65">
      <sortCondition ref="A4:A65"/>
    </sortState>
  </autoFilter>
  <sortState ref="A5:G64">
    <sortCondition ref="A5:A64"/>
    <sortCondition ref="E5:E64"/>
    <sortCondition descending="1" ref="C5:C64"/>
    <sortCondition descending="1" ref="G5:G64"/>
  </sortState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B3"/>
    </sheetView>
  </sheetViews>
  <sheetFormatPr defaultRowHeight="14.4" x14ac:dyDescent="0.3"/>
  <cols>
    <col min="1" max="1" width="15.21875" bestFit="1" customWidth="1"/>
    <col min="2" max="2" width="22.109375" customWidth="1"/>
  </cols>
  <sheetData>
    <row r="1" spans="1:2" x14ac:dyDescent="0.3">
      <c r="A1" s="48">
        <v>40000000</v>
      </c>
      <c r="B1" s="49">
        <v>60000000</v>
      </c>
    </row>
    <row r="2" spans="1:2" x14ac:dyDescent="0.3">
      <c r="A2" s="48">
        <f>IF(A1&gt;48000000,10440000+(A1-48000000)*0.35,IF(A1&gt;36000000,6840000+(A1-36000000)*0.3,IF(A1&gt;24000000,3840000+(A1-24000000)*0.25,IF(A1&gt;12000000,1440000+(A1-12000000)*0.2,A1*L9))))</f>
        <v>8040000</v>
      </c>
      <c r="B2" s="49">
        <f>IF(A2&gt;48000000,10440000+(A2)*0.35,IF(A2&gt;36000000,6840000+(A2)*0.3,IF(A2&gt;24000000,3840000+(A2)*0.25,IF(A2&gt;12000000,1440000+(A2)*0.2,0))))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zoomScale="71" workbookViewId="0">
      <selection activeCell="G34" sqref="G34"/>
    </sheetView>
  </sheetViews>
  <sheetFormatPr defaultRowHeight="14.4" x14ac:dyDescent="0.3"/>
  <cols>
    <col min="1" max="1" width="14.33203125" bestFit="1" customWidth="1"/>
    <col min="2" max="2" width="9.109375" bestFit="1" customWidth="1"/>
    <col min="3" max="3" width="10.6640625" bestFit="1" customWidth="1"/>
    <col min="4" max="4" width="13.109375" bestFit="1" customWidth="1"/>
    <col min="5" max="5" width="11.5546875" bestFit="1" customWidth="1"/>
    <col min="6" max="6" width="16.5546875" bestFit="1" customWidth="1"/>
    <col min="7" max="7" width="10.5546875" bestFit="1" customWidth="1"/>
  </cols>
  <sheetData>
    <row r="1" spans="1:7" x14ac:dyDescent="0.3">
      <c r="A1" s="64" t="s">
        <v>58</v>
      </c>
      <c r="B1" s="64"/>
      <c r="C1" s="64"/>
      <c r="D1" s="64"/>
      <c r="E1" s="64"/>
      <c r="F1" s="64"/>
      <c r="G1" s="64"/>
    </row>
    <row r="2" spans="1:7" x14ac:dyDescent="0.3">
      <c r="A2" s="8" t="s">
        <v>49</v>
      </c>
      <c r="B2" s="8" t="s">
        <v>50</v>
      </c>
      <c r="C2" s="8" t="s">
        <v>51</v>
      </c>
      <c r="D2" s="8" t="s">
        <v>52</v>
      </c>
      <c r="E2" s="8" t="s">
        <v>53</v>
      </c>
      <c r="F2" s="8" t="s">
        <v>54</v>
      </c>
      <c r="G2" s="13" t="s">
        <v>48</v>
      </c>
    </row>
    <row r="3" spans="1:7" x14ac:dyDescent="0.3">
      <c r="A3" s="11">
        <v>35462</v>
      </c>
      <c r="B3" s="5" t="s">
        <v>43</v>
      </c>
      <c r="C3" s="9">
        <v>35</v>
      </c>
      <c r="D3" s="9">
        <v>8.75</v>
      </c>
      <c r="E3" s="5">
        <v>259</v>
      </c>
      <c r="F3" s="9">
        <v>13597.5</v>
      </c>
      <c r="G3" s="14">
        <v>4532.5</v>
      </c>
    </row>
    <row r="4" spans="1:7" x14ac:dyDescent="0.3">
      <c r="A4" s="11">
        <v>35462</v>
      </c>
      <c r="B4" s="5" t="s">
        <v>38</v>
      </c>
      <c r="C4" s="9">
        <v>88</v>
      </c>
      <c r="D4" s="9">
        <v>22</v>
      </c>
      <c r="E4" s="5">
        <v>233</v>
      </c>
      <c r="F4" s="9">
        <v>30756</v>
      </c>
      <c r="G4" s="14">
        <v>10252</v>
      </c>
    </row>
    <row r="5" spans="1:7" x14ac:dyDescent="0.3">
      <c r="A5" s="11">
        <v>35462</v>
      </c>
      <c r="B5" s="5" t="s">
        <v>38</v>
      </c>
      <c r="C5" s="9">
        <v>46</v>
      </c>
      <c r="D5" s="9">
        <v>11.5</v>
      </c>
      <c r="E5" s="5">
        <v>149</v>
      </c>
      <c r="F5" s="9">
        <v>10281</v>
      </c>
      <c r="G5" s="14">
        <v>3427</v>
      </c>
    </row>
    <row r="6" spans="1:7" x14ac:dyDescent="0.3">
      <c r="A6" s="11">
        <v>35462</v>
      </c>
      <c r="B6" s="5" t="s">
        <v>44</v>
      </c>
      <c r="C6" s="9">
        <v>46</v>
      </c>
      <c r="D6" s="9">
        <v>11.5</v>
      </c>
      <c r="E6" s="5">
        <v>59</v>
      </c>
      <c r="F6" s="9">
        <v>4071</v>
      </c>
      <c r="G6" s="14">
        <v>1357</v>
      </c>
    </row>
    <row r="7" spans="1:7" x14ac:dyDescent="0.3">
      <c r="A7" s="11">
        <v>35462</v>
      </c>
      <c r="B7" s="5" t="s">
        <v>43</v>
      </c>
      <c r="C7" s="9">
        <v>56</v>
      </c>
      <c r="D7" s="9">
        <v>14</v>
      </c>
      <c r="E7" s="5">
        <v>242</v>
      </c>
      <c r="F7" s="9">
        <v>20328</v>
      </c>
      <c r="G7" s="14">
        <v>6776</v>
      </c>
    </row>
    <row r="8" spans="1:7" x14ac:dyDescent="0.3">
      <c r="A8" s="11">
        <v>35462</v>
      </c>
      <c r="B8" s="5" t="s">
        <v>41</v>
      </c>
      <c r="C8" s="9">
        <v>45</v>
      </c>
      <c r="D8" s="9">
        <v>11.25</v>
      </c>
      <c r="E8" s="5">
        <v>237</v>
      </c>
      <c r="F8" s="9">
        <v>15997.5</v>
      </c>
      <c r="G8" s="14">
        <v>5332.5</v>
      </c>
    </row>
    <row r="9" spans="1:7" x14ac:dyDescent="0.3">
      <c r="A9" s="11">
        <v>35462</v>
      </c>
      <c r="B9" s="5" t="s">
        <v>42</v>
      </c>
      <c r="C9" s="9">
        <v>21</v>
      </c>
      <c r="D9" s="9">
        <v>5.25</v>
      </c>
      <c r="E9" s="5">
        <v>165</v>
      </c>
      <c r="F9" s="9">
        <v>5197.5</v>
      </c>
      <c r="G9" s="14">
        <v>1732.5</v>
      </c>
    </row>
    <row r="10" spans="1:7" x14ac:dyDescent="0.3">
      <c r="A10" s="11">
        <v>35462</v>
      </c>
      <c r="B10" s="5" t="s">
        <v>40</v>
      </c>
      <c r="C10" s="9">
        <v>72</v>
      </c>
      <c r="D10" s="9">
        <v>18</v>
      </c>
      <c r="E10" s="5">
        <v>175</v>
      </c>
      <c r="F10" s="9">
        <v>18900</v>
      </c>
      <c r="G10" s="14">
        <v>6300</v>
      </c>
    </row>
    <row r="11" spans="1:7" x14ac:dyDescent="0.3">
      <c r="A11" s="11">
        <v>35462</v>
      </c>
      <c r="B11" s="5" t="s">
        <v>41</v>
      </c>
      <c r="C11" s="9">
        <v>29</v>
      </c>
      <c r="D11" s="9">
        <v>7.25</v>
      </c>
      <c r="E11" s="5">
        <v>230</v>
      </c>
      <c r="F11" s="9">
        <v>10005</v>
      </c>
      <c r="G11" s="14">
        <v>3335</v>
      </c>
    </row>
    <row r="12" spans="1:7" x14ac:dyDescent="0.3">
      <c r="A12" s="11">
        <v>35462</v>
      </c>
      <c r="B12" s="5" t="s">
        <v>38</v>
      </c>
      <c r="C12" s="9">
        <v>21</v>
      </c>
      <c r="D12" s="9">
        <v>5.25</v>
      </c>
      <c r="E12" s="5">
        <v>40</v>
      </c>
      <c r="F12" s="9">
        <v>1260</v>
      </c>
      <c r="G12" s="14">
        <v>420</v>
      </c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64" t="s">
        <v>59</v>
      </c>
      <c r="B14" s="64"/>
      <c r="C14" s="64"/>
      <c r="D14" s="64"/>
      <c r="E14" s="64"/>
      <c r="F14" s="64"/>
      <c r="G14" s="64"/>
    </row>
    <row r="15" spans="1:7" x14ac:dyDescent="0.3">
      <c r="A15" s="8" t="s">
        <v>49</v>
      </c>
      <c r="B15" s="8" t="s">
        <v>50</v>
      </c>
      <c r="C15" s="8" t="s">
        <v>51</v>
      </c>
      <c r="D15" s="8" t="s">
        <v>52</v>
      </c>
      <c r="E15" s="8" t="s">
        <v>53</v>
      </c>
      <c r="F15" s="8" t="s">
        <v>54</v>
      </c>
      <c r="G15" s="13" t="s">
        <v>48</v>
      </c>
    </row>
    <row r="16" spans="1:7" x14ac:dyDescent="0.3">
      <c r="A16" s="11">
        <v>35125</v>
      </c>
      <c r="B16" s="5" t="s">
        <v>41</v>
      </c>
      <c r="C16" s="9">
        <v>90</v>
      </c>
      <c r="D16" s="9">
        <v>22.5</v>
      </c>
      <c r="E16" s="5">
        <v>87</v>
      </c>
      <c r="F16" s="9">
        <v>11745</v>
      </c>
      <c r="G16" s="14">
        <v>3915</v>
      </c>
    </row>
    <row r="17" spans="1:7" x14ac:dyDescent="0.3">
      <c r="A17" s="11">
        <v>35125</v>
      </c>
      <c r="B17" s="5" t="s">
        <v>41</v>
      </c>
      <c r="C17" s="9">
        <v>60</v>
      </c>
      <c r="D17" s="9">
        <v>15</v>
      </c>
      <c r="E17" s="5">
        <v>77</v>
      </c>
      <c r="F17" s="9">
        <v>6930</v>
      </c>
      <c r="G17" s="14">
        <v>2310</v>
      </c>
    </row>
    <row r="18" spans="1:7" x14ac:dyDescent="0.3">
      <c r="A18" s="11">
        <v>35125</v>
      </c>
      <c r="B18" s="5" t="s">
        <v>41</v>
      </c>
      <c r="C18" s="9">
        <v>56</v>
      </c>
      <c r="D18" s="9">
        <v>14</v>
      </c>
      <c r="E18" s="5">
        <v>127</v>
      </c>
      <c r="F18" s="9">
        <v>10668</v>
      </c>
      <c r="G18" s="14">
        <v>3556</v>
      </c>
    </row>
    <row r="19" spans="1:7" x14ac:dyDescent="0.3">
      <c r="A19" s="11">
        <v>35311</v>
      </c>
      <c r="B19" s="5" t="s">
        <v>41</v>
      </c>
      <c r="C19" s="9">
        <v>67</v>
      </c>
      <c r="D19" s="9">
        <v>16.75</v>
      </c>
      <c r="E19" s="5">
        <v>66</v>
      </c>
      <c r="F19" s="9">
        <v>6633</v>
      </c>
      <c r="G19" s="14">
        <v>2211</v>
      </c>
    </row>
    <row r="20" spans="1:7" x14ac:dyDescent="0.3">
      <c r="A20" s="11">
        <v>35311</v>
      </c>
      <c r="B20" s="5" t="s">
        <v>41</v>
      </c>
      <c r="C20" s="9">
        <v>75</v>
      </c>
      <c r="D20" s="9">
        <v>18.75</v>
      </c>
      <c r="E20" s="5">
        <v>49</v>
      </c>
      <c r="F20" s="9">
        <v>5512.5</v>
      </c>
      <c r="G20" s="14">
        <v>1837.5</v>
      </c>
    </row>
    <row r="21" spans="1:7" x14ac:dyDescent="0.3">
      <c r="A21" s="11">
        <v>35462</v>
      </c>
      <c r="B21" s="5" t="s">
        <v>41</v>
      </c>
      <c r="C21" s="9">
        <v>45</v>
      </c>
      <c r="D21" s="9">
        <v>11.25</v>
      </c>
      <c r="E21" s="5">
        <v>237</v>
      </c>
      <c r="F21" s="9">
        <v>15997.5</v>
      </c>
      <c r="G21" s="14">
        <v>5332.5</v>
      </c>
    </row>
    <row r="22" spans="1:7" x14ac:dyDescent="0.3">
      <c r="A22" s="11">
        <v>35462</v>
      </c>
      <c r="B22" s="5" t="s">
        <v>41</v>
      </c>
      <c r="C22" s="9">
        <v>29</v>
      </c>
      <c r="D22" s="9">
        <v>7.25</v>
      </c>
      <c r="E22" s="5">
        <v>230</v>
      </c>
      <c r="F22" s="9">
        <v>10005</v>
      </c>
      <c r="G22" s="14">
        <v>3335</v>
      </c>
    </row>
    <row r="23" spans="1:7" x14ac:dyDescent="0.3">
      <c r="A23" s="11">
        <v>35551</v>
      </c>
      <c r="B23" s="5" t="s">
        <v>41</v>
      </c>
      <c r="C23" s="9">
        <v>77</v>
      </c>
      <c r="D23" s="9">
        <v>19.25</v>
      </c>
      <c r="E23" s="5">
        <v>20</v>
      </c>
      <c r="F23" s="9">
        <v>2310</v>
      </c>
      <c r="G23" s="14">
        <v>770</v>
      </c>
    </row>
    <row r="24" spans="1:7" x14ac:dyDescent="0.3">
      <c r="A24" s="11">
        <v>35977</v>
      </c>
      <c r="B24" s="5" t="s">
        <v>41</v>
      </c>
      <c r="C24" s="9">
        <v>44</v>
      </c>
      <c r="D24" s="9">
        <v>11</v>
      </c>
      <c r="E24" s="5">
        <v>72</v>
      </c>
      <c r="F24" s="9">
        <v>4752</v>
      </c>
      <c r="G24" s="14">
        <v>1584</v>
      </c>
    </row>
    <row r="25" spans="1:7" x14ac:dyDescent="0.3">
      <c r="A25" s="11">
        <v>36100</v>
      </c>
      <c r="B25" s="5" t="s">
        <v>41</v>
      </c>
      <c r="C25" s="9">
        <v>92</v>
      </c>
      <c r="D25" s="9">
        <v>23</v>
      </c>
      <c r="E25" s="5">
        <v>253</v>
      </c>
      <c r="F25" s="9">
        <v>34914</v>
      </c>
      <c r="G25" s="14">
        <v>11638</v>
      </c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64" t="s">
        <v>60</v>
      </c>
      <c r="B27" s="64"/>
      <c r="C27" s="64"/>
      <c r="D27" s="64"/>
      <c r="E27" s="64"/>
      <c r="F27" s="64"/>
      <c r="G27" s="64"/>
    </row>
    <row r="28" spans="1:7" x14ac:dyDescent="0.3">
      <c r="A28" s="8" t="s">
        <v>49</v>
      </c>
      <c r="B28" s="8" t="s">
        <v>50</v>
      </c>
      <c r="C28" s="8" t="s">
        <v>51</v>
      </c>
      <c r="D28" s="8" t="s">
        <v>52</v>
      </c>
      <c r="E28" s="8" t="s">
        <v>53</v>
      </c>
      <c r="F28" s="8" t="s">
        <v>54</v>
      </c>
      <c r="G28" s="13" t="s">
        <v>48</v>
      </c>
    </row>
    <row r="29" spans="1:7" x14ac:dyDescent="0.3">
      <c r="A29" s="11">
        <v>35125</v>
      </c>
      <c r="B29" s="5" t="s">
        <v>37</v>
      </c>
      <c r="C29" s="9">
        <v>36</v>
      </c>
      <c r="D29" s="9">
        <v>9</v>
      </c>
      <c r="E29" s="5">
        <v>50</v>
      </c>
      <c r="F29" s="9">
        <v>2700</v>
      </c>
      <c r="G29" s="14">
        <v>900</v>
      </c>
    </row>
    <row r="30" spans="1:7" x14ac:dyDescent="0.3">
      <c r="A30" s="11">
        <v>35311</v>
      </c>
      <c r="B30" s="5" t="s">
        <v>44</v>
      </c>
      <c r="C30" s="9">
        <v>92</v>
      </c>
      <c r="D30" s="9">
        <v>23</v>
      </c>
      <c r="E30" s="5">
        <v>44</v>
      </c>
      <c r="F30" s="9">
        <v>6072</v>
      </c>
      <c r="G30" s="14">
        <v>2024</v>
      </c>
    </row>
    <row r="31" spans="1:7" x14ac:dyDescent="0.3">
      <c r="A31" s="11">
        <v>35311</v>
      </c>
      <c r="B31" s="5" t="s">
        <v>41</v>
      </c>
      <c r="C31" s="9">
        <v>75</v>
      </c>
      <c r="D31" s="9">
        <v>18.75</v>
      </c>
      <c r="E31" s="5">
        <v>49</v>
      </c>
      <c r="F31" s="9">
        <v>5512.5</v>
      </c>
      <c r="G31" s="14">
        <v>1837.5</v>
      </c>
    </row>
    <row r="32" spans="1:7" x14ac:dyDescent="0.3">
      <c r="A32" s="11">
        <v>35462</v>
      </c>
      <c r="B32" s="5" t="s">
        <v>38</v>
      </c>
      <c r="C32" s="9">
        <v>21</v>
      </c>
      <c r="D32" s="9">
        <v>5.25</v>
      </c>
      <c r="E32" s="5">
        <v>40</v>
      </c>
      <c r="F32" s="9">
        <v>1260</v>
      </c>
      <c r="G32" s="14">
        <v>420</v>
      </c>
    </row>
    <row r="33" spans="1:7" x14ac:dyDescent="0.3">
      <c r="A33" s="11">
        <v>35551</v>
      </c>
      <c r="B33" s="5" t="s">
        <v>41</v>
      </c>
      <c r="C33" s="9">
        <v>77</v>
      </c>
      <c r="D33" s="9">
        <v>19.25</v>
      </c>
      <c r="E33" s="5">
        <v>20</v>
      </c>
      <c r="F33" s="9">
        <v>2310</v>
      </c>
      <c r="G33" s="14">
        <v>770</v>
      </c>
    </row>
    <row r="34" spans="1:7" x14ac:dyDescent="0.3">
      <c r="A34" s="11">
        <v>35551</v>
      </c>
      <c r="B34" s="5" t="s">
        <v>45</v>
      </c>
      <c r="C34" s="9">
        <v>97</v>
      </c>
      <c r="D34" s="9">
        <v>24.25</v>
      </c>
      <c r="E34" s="5">
        <v>50</v>
      </c>
      <c r="F34" s="9">
        <v>7275</v>
      </c>
      <c r="G34" s="14">
        <v>2425</v>
      </c>
    </row>
    <row r="35" spans="1:7" x14ac:dyDescent="0.3">
      <c r="A35" s="11">
        <v>35551</v>
      </c>
      <c r="B35" s="5" t="s">
        <v>39</v>
      </c>
      <c r="C35" s="9">
        <v>33</v>
      </c>
      <c r="D35" s="9">
        <v>8.25</v>
      </c>
      <c r="E35" s="5">
        <v>36</v>
      </c>
      <c r="F35" s="9">
        <v>1782</v>
      </c>
      <c r="G35" s="14">
        <v>594</v>
      </c>
    </row>
    <row r="36" spans="1:7" x14ac:dyDescent="0.3">
      <c r="A36" s="11">
        <v>35977</v>
      </c>
      <c r="B36" s="5" t="s">
        <v>38</v>
      </c>
      <c r="C36" s="9">
        <v>53</v>
      </c>
      <c r="D36" s="9">
        <v>13.25</v>
      </c>
      <c r="E36" s="5">
        <v>43</v>
      </c>
      <c r="F36" s="9">
        <v>3418.5</v>
      </c>
      <c r="G36" s="14">
        <v>1139.5</v>
      </c>
    </row>
    <row r="37" spans="1:7" x14ac:dyDescent="0.3">
      <c r="A37" s="11">
        <v>35977</v>
      </c>
      <c r="B37" s="5" t="s">
        <v>42</v>
      </c>
      <c r="C37" s="9">
        <v>82</v>
      </c>
      <c r="D37" s="9">
        <v>20.5</v>
      </c>
      <c r="E37" s="5">
        <v>40</v>
      </c>
      <c r="F37" s="9">
        <v>4920</v>
      </c>
      <c r="G37" s="14">
        <v>1640</v>
      </c>
    </row>
    <row r="38" spans="1:7" x14ac:dyDescent="0.3">
      <c r="A38" s="11">
        <v>36100</v>
      </c>
      <c r="B38" s="5" t="s">
        <v>40</v>
      </c>
      <c r="C38" s="9">
        <v>62</v>
      </c>
      <c r="D38" s="9">
        <v>15.5</v>
      </c>
      <c r="E38" s="5">
        <v>32</v>
      </c>
      <c r="F38" s="9">
        <v>2976</v>
      </c>
      <c r="G38" s="14">
        <v>992</v>
      </c>
    </row>
    <row r="39" spans="1:7" x14ac:dyDescent="0.3">
      <c r="A39" s="11">
        <v>36100</v>
      </c>
      <c r="B39" s="5" t="s">
        <v>38</v>
      </c>
      <c r="C39" s="9">
        <v>71</v>
      </c>
      <c r="D39" s="9">
        <v>17.75</v>
      </c>
      <c r="E39" s="5">
        <v>32</v>
      </c>
      <c r="F39" s="9">
        <v>3408</v>
      </c>
      <c r="G39" s="14">
        <v>1136</v>
      </c>
    </row>
    <row r="40" spans="1:7" x14ac:dyDescent="0.3">
      <c r="A40" s="11">
        <v>36100</v>
      </c>
      <c r="B40" s="5" t="s">
        <v>38</v>
      </c>
      <c r="C40" s="9">
        <v>34</v>
      </c>
      <c r="D40" s="9">
        <v>8.5</v>
      </c>
      <c r="E40" s="5">
        <v>24</v>
      </c>
      <c r="F40" s="9">
        <v>1224</v>
      </c>
      <c r="G40" s="14">
        <v>408</v>
      </c>
    </row>
  </sheetData>
  <mergeCells count="3">
    <mergeCell ref="A1:G1"/>
    <mergeCell ref="A14:G14"/>
    <mergeCell ref="A27:G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zoomScale="75" workbookViewId="0">
      <selection activeCell="K2" sqref="K2"/>
    </sheetView>
  </sheetViews>
  <sheetFormatPr defaultRowHeight="14.4" x14ac:dyDescent="0.3"/>
  <cols>
    <col min="1" max="1" width="14.33203125" bestFit="1" customWidth="1"/>
    <col min="3" max="3" width="10.6640625" bestFit="1" customWidth="1"/>
    <col min="4" max="4" width="13.109375" bestFit="1" customWidth="1"/>
    <col min="5" max="5" width="11.5546875" bestFit="1" customWidth="1"/>
    <col min="6" max="6" width="16.5546875" bestFit="1" customWidth="1"/>
    <col min="7" max="7" width="10.5546875" bestFit="1" customWidth="1"/>
  </cols>
  <sheetData>
    <row r="1" spans="1:11" ht="36" customHeight="1" x14ac:dyDescent="0.3">
      <c r="A1" s="65" t="s">
        <v>61</v>
      </c>
      <c r="B1" s="65"/>
      <c r="C1" s="65"/>
      <c r="D1" s="65"/>
      <c r="E1" s="65"/>
      <c r="F1" s="65"/>
      <c r="G1" s="65"/>
      <c r="H1" s="17"/>
      <c r="I1" s="17"/>
      <c r="J1" s="17"/>
      <c r="K1" s="16"/>
    </row>
    <row r="2" spans="1:11" x14ac:dyDescent="0.3">
      <c r="A2" s="8" t="s">
        <v>49</v>
      </c>
      <c r="B2" s="8" t="s">
        <v>50</v>
      </c>
      <c r="C2" s="8" t="s">
        <v>51</v>
      </c>
      <c r="D2" s="8" t="s">
        <v>52</v>
      </c>
      <c r="E2" s="8" t="s">
        <v>53</v>
      </c>
      <c r="F2" s="8" t="s">
        <v>54</v>
      </c>
      <c r="G2" s="13" t="s">
        <v>48</v>
      </c>
    </row>
    <row r="3" spans="1:11" x14ac:dyDescent="0.3">
      <c r="A3" s="11">
        <v>35125</v>
      </c>
      <c r="B3" s="5" t="s">
        <v>45</v>
      </c>
      <c r="C3" s="9">
        <v>20</v>
      </c>
      <c r="D3" s="9">
        <v>5</v>
      </c>
      <c r="E3" s="5">
        <v>17</v>
      </c>
      <c r="F3" s="9">
        <v>510</v>
      </c>
      <c r="G3" s="14">
        <v>170</v>
      </c>
    </row>
    <row r="4" spans="1:11" x14ac:dyDescent="0.3">
      <c r="A4" s="11">
        <v>35125</v>
      </c>
      <c r="B4" s="5" t="s">
        <v>37</v>
      </c>
      <c r="C4" s="9">
        <v>36</v>
      </c>
      <c r="D4" s="9">
        <v>9</v>
      </c>
      <c r="E4" s="5">
        <v>50</v>
      </c>
      <c r="F4" s="9">
        <v>2700</v>
      </c>
      <c r="G4" s="14">
        <v>900</v>
      </c>
    </row>
    <row r="5" spans="1:11" x14ac:dyDescent="0.3">
      <c r="A5" s="11">
        <v>35125</v>
      </c>
      <c r="B5" s="5" t="s">
        <v>44</v>
      </c>
      <c r="C5" s="9">
        <v>56</v>
      </c>
      <c r="D5" s="9">
        <v>14</v>
      </c>
      <c r="E5" s="5">
        <v>58</v>
      </c>
      <c r="F5" s="9">
        <v>4872</v>
      </c>
      <c r="G5" s="14">
        <v>1624</v>
      </c>
    </row>
    <row r="6" spans="1:11" x14ac:dyDescent="0.3">
      <c r="A6" s="11">
        <v>35125</v>
      </c>
      <c r="B6" s="5" t="s">
        <v>41</v>
      </c>
      <c r="C6" s="9">
        <v>60</v>
      </c>
      <c r="D6" s="9">
        <v>15</v>
      </c>
      <c r="E6" s="5">
        <v>77</v>
      </c>
      <c r="F6" s="9">
        <v>6930</v>
      </c>
      <c r="G6" s="14">
        <v>2310</v>
      </c>
    </row>
    <row r="7" spans="1:11" x14ac:dyDescent="0.3">
      <c r="A7" s="11">
        <v>35125</v>
      </c>
      <c r="B7" s="5" t="s">
        <v>41</v>
      </c>
      <c r="C7" s="9">
        <v>90</v>
      </c>
      <c r="D7" s="9">
        <v>22.5</v>
      </c>
      <c r="E7" s="5">
        <v>87</v>
      </c>
      <c r="F7" s="9">
        <v>11745</v>
      </c>
      <c r="G7" s="14">
        <v>3915</v>
      </c>
    </row>
    <row r="8" spans="1:11" x14ac:dyDescent="0.3">
      <c r="A8" s="11">
        <v>35125</v>
      </c>
      <c r="B8" s="5" t="s">
        <v>46</v>
      </c>
      <c r="C8" s="9">
        <v>59</v>
      </c>
      <c r="D8" s="9">
        <v>14.75</v>
      </c>
      <c r="E8" s="5">
        <v>118</v>
      </c>
      <c r="F8" s="9">
        <v>10443</v>
      </c>
      <c r="G8" s="14">
        <v>3481</v>
      </c>
    </row>
    <row r="9" spans="1:11" x14ac:dyDescent="0.3">
      <c r="A9" s="11">
        <v>35125</v>
      </c>
      <c r="B9" s="5" t="s">
        <v>41</v>
      </c>
      <c r="C9" s="9">
        <v>56</v>
      </c>
      <c r="D9" s="9">
        <v>14</v>
      </c>
      <c r="E9" s="5">
        <v>127</v>
      </c>
      <c r="F9" s="9">
        <v>10668</v>
      </c>
      <c r="G9" s="14">
        <v>3556</v>
      </c>
    </row>
    <row r="10" spans="1:11" x14ac:dyDescent="0.3">
      <c r="A10" s="11">
        <v>35125</v>
      </c>
      <c r="B10" s="5" t="s">
        <v>42</v>
      </c>
      <c r="C10" s="9">
        <v>64</v>
      </c>
      <c r="D10" s="9">
        <v>16</v>
      </c>
      <c r="E10" s="5">
        <v>130</v>
      </c>
      <c r="F10" s="9">
        <v>12480</v>
      </c>
      <c r="G10" s="14">
        <v>4160</v>
      </c>
    </row>
    <row r="11" spans="1:11" x14ac:dyDescent="0.3">
      <c r="A11" s="11">
        <v>35125</v>
      </c>
      <c r="B11" s="5" t="s">
        <v>46</v>
      </c>
      <c r="C11" s="9">
        <v>25</v>
      </c>
      <c r="D11" s="9">
        <v>6.25</v>
      </c>
      <c r="E11" s="5">
        <v>210</v>
      </c>
      <c r="F11" s="9">
        <v>7875</v>
      </c>
      <c r="G11" s="14">
        <v>2625</v>
      </c>
    </row>
    <row r="12" spans="1:11" x14ac:dyDescent="0.3">
      <c r="A12" s="11">
        <v>35125</v>
      </c>
      <c r="B12" s="5" t="s">
        <v>37</v>
      </c>
      <c r="C12" s="9">
        <v>83</v>
      </c>
      <c r="D12" s="9">
        <v>20.75</v>
      </c>
      <c r="E12" s="5">
        <v>297</v>
      </c>
      <c r="F12" s="9">
        <v>36976.5</v>
      </c>
      <c r="G12" s="14">
        <v>12325.5</v>
      </c>
    </row>
    <row r="13" spans="1:11" x14ac:dyDescent="0.3">
      <c r="A13" s="11">
        <v>35311</v>
      </c>
      <c r="B13" s="5" t="s">
        <v>44</v>
      </c>
      <c r="C13" s="9">
        <v>92</v>
      </c>
      <c r="D13" s="9">
        <v>23</v>
      </c>
      <c r="E13" s="5">
        <v>44</v>
      </c>
      <c r="F13" s="9">
        <v>6072</v>
      </c>
      <c r="G13" s="14">
        <v>2024</v>
      </c>
    </row>
    <row r="14" spans="1:11" x14ac:dyDescent="0.3">
      <c r="A14" s="11">
        <v>35311</v>
      </c>
      <c r="B14" s="5" t="s">
        <v>41</v>
      </c>
      <c r="C14" s="9">
        <v>75</v>
      </c>
      <c r="D14" s="9">
        <v>18.75</v>
      </c>
      <c r="E14" s="5">
        <v>49</v>
      </c>
      <c r="F14" s="9">
        <v>5512.5</v>
      </c>
      <c r="G14" s="14">
        <v>1837.5</v>
      </c>
    </row>
    <row r="15" spans="1:11" x14ac:dyDescent="0.3">
      <c r="A15" s="11">
        <v>35311</v>
      </c>
      <c r="B15" s="5" t="s">
        <v>41</v>
      </c>
      <c r="C15" s="9">
        <v>67</v>
      </c>
      <c r="D15" s="9">
        <v>16.75</v>
      </c>
      <c r="E15" s="5">
        <v>66</v>
      </c>
      <c r="F15" s="9">
        <v>6633</v>
      </c>
      <c r="G15" s="14">
        <v>2211</v>
      </c>
    </row>
    <row r="16" spans="1:11" x14ac:dyDescent="0.3">
      <c r="A16" s="11">
        <v>35311</v>
      </c>
      <c r="B16" s="5" t="s">
        <v>44</v>
      </c>
      <c r="C16" s="9">
        <v>74</v>
      </c>
      <c r="D16" s="9">
        <v>18.5</v>
      </c>
      <c r="E16" s="5">
        <v>68</v>
      </c>
      <c r="F16" s="9">
        <v>7548</v>
      </c>
      <c r="G16" s="14">
        <v>2516</v>
      </c>
    </row>
    <row r="17" spans="1:7" x14ac:dyDescent="0.3">
      <c r="A17" s="11">
        <v>35311</v>
      </c>
      <c r="B17" s="5" t="s">
        <v>40</v>
      </c>
      <c r="C17" s="9">
        <v>58</v>
      </c>
      <c r="D17" s="9">
        <v>14.5</v>
      </c>
      <c r="E17" s="5">
        <v>77</v>
      </c>
      <c r="F17" s="9">
        <v>6699</v>
      </c>
      <c r="G17" s="14">
        <v>2233</v>
      </c>
    </row>
    <row r="18" spans="1:7" x14ac:dyDescent="0.3">
      <c r="A18" s="11">
        <v>35311</v>
      </c>
      <c r="B18" s="5" t="s">
        <v>43</v>
      </c>
      <c r="C18" s="9">
        <v>36</v>
      </c>
      <c r="D18" s="9">
        <v>9</v>
      </c>
      <c r="E18" s="5">
        <v>148</v>
      </c>
      <c r="F18" s="9">
        <v>7992</v>
      </c>
      <c r="G18" s="14">
        <v>2664</v>
      </c>
    </row>
    <row r="19" spans="1:7" x14ac:dyDescent="0.3">
      <c r="A19" s="11">
        <v>35311</v>
      </c>
      <c r="B19" s="5" t="s">
        <v>42</v>
      </c>
      <c r="C19" s="9">
        <v>67</v>
      </c>
      <c r="D19" s="9">
        <v>16.75</v>
      </c>
      <c r="E19" s="5">
        <v>153</v>
      </c>
      <c r="F19" s="9">
        <v>15376.5</v>
      </c>
      <c r="G19" s="14">
        <v>5125.5</v>
      </c>
    </row>
    <row r="20" spans="1:7" x14ac:dyDescent="0.3">
      <c r="A20" s="11">
        <v>35311</v>
      </c>
      <c r="B20" s="5" t="s">
        <v>46</v>
      </c>
      <c r="C20" s="9">
        <v>23</v>
      </c>
      <c r="D20" s="9">
        <v>5.75</v>
      </c>
      <c r="E20" s="5">
        <v>155</v>
      </c>
      <c r="F20" s="9">
        <v>5347.5</v>
      </c>
      <c r="G20" s="14">
        <v>1782.5</v>
      </c>
    </row>
    <row r="21" spans="1:7" x14ac:dyDescent="0.3">
      <c r="A21" s="11">
        <v>35311</v>
      </c>
      <c r="B21" s="5" t="s">
        <v>43</v>
      </c>
      <c r="C21" s="9">
        <v>56</v>
      </c>
      <c r="D21" s="9">
        <v>14</v>
      </c>
      <c r="E21" s="5">
        <v>194</v>
      </c>
      <c r="F21" s="9">
        <v>16296</v>
      </c>
      <c r="G21" s="14">
        <v>5432</v>
      </c>
    </row>
    <row r="22" spans="1:7" x14ac:dyDescent="0.3">
      <c r="A22" s="11">
        <v>35311</v>
      </c>
      <c r="B22" s="5" t="s">
        <v>44</v>
      </c>
      <c r="C22" s="9">
        <v>54</v>
      </c>
      <c r="D22" s="9">
        <v>13.5</v>
      </c>
      <c r="E22" s="5">
        <v>269</v>
      </c>
      <c r="F22" s="9">
        <v>21789</v>
      </c>
      <c r="G22" s="14">
        <v>7263</v>
      </c>
    </row>
    <row r="23" spans="1:7" x14ac:dyDescent="0.3">
      <c r="A23" s="11">
        <v>35462</v>
      </c>
      <c r="B23" s="5" t="s">
        <v>38</v>
      </c>
      <c r="C23" s="9">
        <v>21</v>
      </c>
      <c r="D23" s="9">
        <v>5.25</v>
      </c>
      <c r="E23" s="5">
        <v>40</v>
      </c>
      <c r="F23" s="9">
        <v>1260</v>
      </c>
      <c r="G23" s="14">
        <v>420</v>
      </c>
    </row>
    <row r="24" spans="1:7" x14ac:dyDescent="0.3">
      <c r="A24" s="11">
        <v>35462</v>
      </c>
      <c r="B24" s="5" t="s">
        <v>44</v>
      </c>
      <c r="C24" s="9">
        <v>46</v>
      </c>
      <c r="D24" s="9">
        <v>11.5</v>
      </c>
      <c r="E24" s="5">
        <v>59</v>
      </c>
      <c r="F24" s="9">
        <v>4071</v>
      </c>
      <c r="G24" s="14">
        <v>1357</v>
      </c>
    </row>
    <row r="25" spans="1:7" x14ac:dyDescent="0.3">
      <c r="A25" s="11">
        <v>35462</v>
      </c>
      <c r="B25" s="5" t="s">
        <v>38</v>
      </c>
      <c r="C25" s="9">
        <v>46</v>
      </c>
      <c r="D25" s="9">
        <v>11.5</v>
      </c>
      <c r="E25" s="5">
        <v>149</v>
      </c>
      <c r="F25" s="9">
        <v>10281</v>
      </c>
      <c r="G25" s="14">
        <v>3427</v>
      </c>
    </row>
    <row r="26" spans="1:7" x14ac:dyDescent="0.3">
      <c r="A26" s="11">
        <v>35462</v>
      </c>
      <c r="B26" s="5" t="s">
        <v>42</v>
      </c>
      <c r="C26" s="9">
        <v>21</v>
      </c>
      <c r="D26" s="9">
        <v>5.25</v>
      </c>
      <c r="E26" s="5">
        <v>165</v>
      </c>
      <c r="F26" s="9">
        <v>5197.5</v>
      </c>
      <c r="G26" s="14">
        <v>1732.5</v>
      </c>
    </row>
    <row r="27" spans="1:7" x14ac:dyDescent="0.3">
      <c r="A27" s="11">
        <v>35462</v>
      </c>
      <c r="B27" s="5" t="s">
        <v>40</v>
      </c>
      <c r="C27" s="9">
        <v>72</v>
      </c>
      <c r="D27" s="9">
        <v>18</v>
      </c>
      <c r="E27" s="5">
        <v>175</v>
      </c>
      <c r="F27" s="9">
        <v>18900</v>
      </c>
      <c r="G27" s="14">
        <v>6300</v>
      </c>
    </row>
    <row r="28" spans="1:7" x14ac:dyDescent="0.3">
      <c r="A28" s="11">
        <v>35462</v>
      </c>
      <c r="B28" s="5" t="s">
        <v>41</v>
      </c>
      <c r="C28" s="9">
        <v>29</v>
      </c>
      <c r="D28" s="9">
        <v>7.25</v>
      </c>
      <c r="E28" s="5">
        <v>230</v>
      </c>
      <c r="F28" s="9">
        <v>10005</v>
      </c>
      <c r="G28" s="14">
        <v>3335</v>
      </c>
    </row>
    <row r="29" spans="1:7" x14ac:dyDescent="0.3">
      <c r="A29" s="11">
        <v>35462</v>
      </c>
      <c r="B29" s="5" t="s">
        <v>38</v>
      </c>
      <c r="C29" s="9">
        <v>88</v>
      </c>
      <c r="D29" s="9">
        <v>22</v>
      </c>
      <c r="E29" s="5">
        <v>233</v>
      </c>
      <c r="F29" s="9">
        <v>30756</v>
      </c>
      <c r="G29" s="14">
        <v>10252</v>
      </c>
    </row>
    <row r="30" spans="1:7" x14ac:dyDescent="0.3">
      <c r="A30" s="11">
        <v>35462</v>
      </c>
      <c r="B30" s="5" t="s">
        <v>41</v>
      </c>
      <c r="C30" s="9">
        <v>45</v>
      </c>
      <c r="D30" s="9">
        <v>11.25</v>
      </c>
      <c r="E30" s="5">
        <v>237</v>
      </c>
      <c r="F30" s="9">
        <v>15997.5</v>
      </c>
      <c r="G30" s="14">
        <v>5332.5</v>
      </c>
    </row>
    <row r="31" spans="1:7" x14ac:dyDescent="0.3">
      <c r="A31" s="11">
        <v>35462</v>
      </c>
      <c r="B31" s="5" t="s">
        <v>43</v>
      </c>
      <c r="C31" s="9">
        <v>56</v>
      </c>
      <c r="D31" s="9">
        <v>14</v>
      </c>
      <c r="E31" s="5">
        <v>242</v>
      </c>
      <c r="F31" s="9">
        <v>20328</v>
      </c>
      <c r="G31" s="14">
        <v>6776</v>
      </c>
    </row>
    <row r="32" spans="1:7" x14ac:dyDescent="0.3">
      <c r="A32" s="11">
        <v>35462</v>
      </c>
      <c r="B32" s="5" t="s">
        <v>43</v>
      </c>
      <c r="C32" s="9">
        <v>35</v>
      </c>
      <c r="D32" s="9">
        <v>8.75</v>
      </c>
      <c r="E32" s="5">
        <v>259</v>
      </c>
      <c r="F32" s="9">
        <v>13597.5</v>
      </c>
      <c r="G32" s="14">
        <v>4532.5</v>
      </c>
    </row>
    <row r="33" spans="1:7" x14ac:dyDescent="0.3">
      <c r="A33" s="11">
        <v>35551</v>
      </c>
      <c r="B33" s="5" t="s">
        <v>41</v>
      </c>
      <c r="C33" s="9">
        <v>77</v>
      </c>
      <c r="D33" s="9">
        <v>19.25</v>
      </c>
      <c r="E33" s="5">
        <v>20</v>
      </c>
      <c r="F33" s="9">
        <v>2310</v>
      </c>
      <c r="G33" s="14">
        <v>770</v>
      </c>
    </row>
    <row r="34" spans="1:7" x14ac:dyDescent="0.3">
      <c r="A34" s="11">
        <v>35551</v>
      </c>
      <c r="B34" s="5" t="s">
        <v>39</v>
      </c>
      <c r="C34" s="9">
        <v>33</v>
      </c>
      <c r="D34" s="9">
        <v>8.25</v>
      </c>
      <c r="E34" s="5">
        <v>36</v>
      </c>
      <c r="F34" s="9">
        <v>1782</v>
      </c>
      <c r="G34" s="14">
        <v>594</v>
      </c>
    </row>
    <row r="35" spans="1:7" x14ac:dyDescent="0.3">
      <c r="A35" s="11">
        <v>35551</v>
      </c>
      <c r="B35" s="5" t="s">
        <v>45</v>
      </c>
      <c r="C35" s="9">
        <v>97</v>
      </c>
      <c r="D35" s="9">
        <v>24.25</v>
      </c>
      <c r="E35" s="5">
        <v>50</v>
      </c>
      <c r="F35" s="9">
        <v>7275</v>
      </c>
      <c r="G35" s="14">
        <v>2425</v>
      </c>
    </row>
    <row r="36" spans="1:7" x14ac:dyDescent="0.3">
      <c r="A36" s="11">
        <v>35551</v>
      </c>
      <c r="B36" s="5" t="s">
        <v>37</v>
      </c>
      <c r="C36" s="9">
        <v>39</v>
      </c>
      <c r="D36" s="9">
        <v>9.75</v>
      </c>
      <c r="E36" s="5">
        <v>65</v>
      </c>
      <c r="F36" s="9">
        <v>3802.5</v>
      </c>
      <c r="G36" s="14">
        <v>1267.5</v>
      </c>
    </row>
    <row r="37" spans="1:7" x14ac:dyDescent="0.3">
      <c r="A37" s="11">
        <v>35551</v>
      </c>
      <c r="B37" s="5" t="s">
        <v>39</v>
      </c>
      <c r="C37" s="9">
        <v>33</v>
      </c>
      <c r="D37" s="9">
        <v>8.25</v>
      </c>
      <c r="E37" s="5">
        <v>179</v>
      </c>
      <c r="F37" s="9">
        <v>8860.5</v>
      </c>
      <c r="G37" s="14">
        <v>2953.5</v>
      </c>
    </row>
    <row r="38" spans="1:7" x14ac:dyDescent="0.3">
      <c r="A38" s="11">
        <v>35551</v>
      </c>
      <c r="B38" s="5" t="s">
        <v>42</v>
      </c>
      <c r="C38" s="9">
        <v>56</v>
      </c>
      <c r="D38" s="9">
        <v>14</v>
      </c>
      <c r="E38" s="5">
        <v>188</v>
      </c>
      <c r="F38" s="9">
        <v>15792</v>
      </c>
      <c r="G38" s="14">
        <v>5264</v>
      </c>
    </row>
    <row r="39" spans="1:7" x14ac:dyDescent="0.3">
      <c r="A39" s="11">
        <v>35551</v>
      </c>
      <c r="B39" s="5" t="s">
        <v>40</v>
      </c>
      <c r="C39" s="9">
        <v>33</v>
      </c>
      <c r="D39" s="9">
        <v>8.25</v>
      </c>
      <c r="E39" s="5">
        <v>195</v>
      </c>
      <c r="F39" s="9">
        <v>9652.5</v>
      </c>
      <c r="G39" s="14">
        <v>3217.5</v>
      </c>
    </row>
    <row r="40" spans="1:7" x14ac:dyDescent="0.3">
      <c r="A40" s="11">
        <v>35551</v>
      </c>
      <c r="B40" s="5" t="s">
        <v>43</v>
      </c>
      <c r="C40" s="9">
        <v>89</v>
      </c>
      <c r="D40" s="9">
        <v>22.25</v>
      </c>
      <c r="E40" s="5">
        <v>215</v>
      </c>
      <c r="F40" s="9">
        <v>28702.5</v>
      </c>
      <c r="G40" s="14">
        <v>9567.5</v>
      </c>
    </row>
    <row r="41" spans="1:7" x14ac:dyDescent="0.3">
      <c r="A41" s="11">
        <v>35551</v>
      </c>
      <c r="B41" s="5" t="s">
        <v>42</v>
      </c>
      <c r="C41" s="9">
        <v>82</v>
      </c>
      <c r="D41" s="9">
        <v>20.5</v>
      </c>
      <c r="E41" s="5">
        <v>234</v>
      </c>
      <c r="F41" s="9">
        <v>28782</v>
      </c>
      <c r="G41" s="14">
        <v>9594</v>
      </c>
    </row>
    <row r="42" spans="1:7" x14ac:dyDescent="0.3">
      <c r="A42" s="11">
        <v>35551</v>
      </c>
      <c r="B42" s="5" t="s">
        <v>39</v>
      </c>
      <c r="C42" s="9">
        <v>39</v>
      </c>
      <c r="D42" s="9">
        <v>9.75</v>
      </c>
      <c r="E42" s="5">
        <v>235</v>
      </c>
      <c r="F42" s="9">
        <v>13747.5</v>
      </c>
      <c r="G42" s="14">
        <v>4582.5</v>
      </c>
    </row>
    <row r="43" spans="1:7" x14ac:dyDescent="0.3">
      <c r="A43" s="11">
        <v>35977</v>
      </c>
      <c r="B43" s="5" t="s">
        <v>42</v>
      </c>
      <c r="C43" s="9">
        <v>82</v>
      </c>
      <c r="D43" s="9">
        <v>20.5</v>
      </c>
      <c r="E43" s="5">
        <v>40</v>
      </c>
      <c r="F43" s="9">
        <v>4920</v>
      </c>
      <c r="G43" s="14">
        <v>1640</v>
      </c>
    </row>
    <row r="44" spans="1:7" x14ac:dyDescent="0.3">
      <c r="A44" s="11">
        <v>35977</v>
      </c>
      <c r="B44" s="5" t="s">
        <v>38</v>
      </c>
      <c r="C44" s="9">
        <v>53</v>
      </c>
      <c r="D44" s="9">
        <v>13.25</v>
      </c>
      <c r="E44" s="5">
        <v>43</v>
      </c>
      <c r="F44" s="9">
        <v>3418.5</v>
      </c>
      <c r="G44" s="14">
        <v>1139.5</v>
      </c>
    </row>
    <row r="45" spans="1:7" x14ac:dyDescent="0.3">
      <c r="A45" s="11">
        <v>35977</v>
      </c>
      <c r="B45" s="5" t="s">
        <v>42</v>
      </c>
      <c r="C45" s="9">
        <v>57</v>
      </c>
      <c r="D45" s="9">
        <v>14.25</v>
      </c>
      <c r="E45" s="5">
        <v>58</v>
      </c>
      <c r="F45" s="9">
        <v>4959</v>
      </c>
      <c r="G45" s="14">
        <v>1653</v>
      </c>
    </row>
    <row r="46" spans="1:7" x14ac:dyDescent="0.3">
      <c r="A46" s="11">
        <v>35977</v>
      </c>
      <c r="B46" s="5" t="s">
        <v>41</v>
      </c>
      <c r="C46" s="9">
        <v>44</v>
      </c>
      <c r="D46" s="9">
        <v>11</v>
      </c>
      <c r="E46" s="5">
        <v>72</v>
      </c>
      <c r="F46" s="9">
        <v>4752</v>
      </c>
      <c r="G46" s="14">
        <v>1584</v>
      </c>
    </row>
    <row r="47" spans="1:7" x14ac:dyDescent="0.3">
      <c r="A47" s="11">
        <v>35977</v>
      </c>
      <c r="B47" s="5" t="s">
        <v>42</v>
      </c>
      <c r="C47" s="9">
        <v>36</v>
      </c>
      <c r="D47" s="9">
        <v>9</v>
      </c>
      <c r="E47" s="5">
        <v>89</v>
      </c>
      <c r="F47" s="9">
        <v>4806</v>
      </c>
      <c r="G47" s="14">
        <v>1602</v>
      </c>
    </row>
    <row r="48" spans="1:7" x14ac:dyDescent="0.3">
      <c r="A48" s="11">
        <v>35977</v>
      </c>
      <c r="B48" s="5" t="s">
        <v>43</v>
      </c>
      <c r="C48" s="9">
        <v>35</v>
      </c>
      <c r="D48" s="9">
        <v>8.75</v>
      </c>
      <c r="E48" s="5">
        <v>128</v>
      </c>
      <c r="F48" s="9">
        <v>6720</v>
      </c>
      <c r="G48" s="14">
        <v>2240</v>
      </c>
    </row>
    <row r="49" spans="1:7" x14ac:dyDescent="0.3">
      <c r="A49" s="11">
        <v>35977</v>
      </c>
      <c r="B49" s="5" t="s">
        <v>45</v>
      </c>
      <c r="C49" s="9">
        <v>79</v>
      </c>
      <c r="D49" s="9">
        <v>19.75</v>
      </c>
      <c r="E49" s="5">
        <v>162</v>
      </c>
      <c r="F49" s="9">
        <v>19197</v>
      </c>
      <c r="G49" s="14">
        <v>6399</v>
      </c>
    </row>
    <row r="50" spans="1:7" x14ac:dyDescent="0.3">
      <c r="A50" s="11">
        <v>35977</v>
      </c>
      <c r="B50" s="5" t="s">
        <v>42</v>
      </c>
      <c r="C50" s="9">
        <v>94</v>
      </c>
      <c r="D50" s="9">
        <v>23.5</v>
      </c>
      <c r="E50" s="5">
        <v>268</v>
      </c>
      <c r="F50" s="9">
        <v>37788</v>
      </c>
      <c r="G50" s="14">
        <v>12596</v>
      </c>
    </row>
    <row r="51" spans="1:7" x14ac:dyDescent="0.3">
      <c r="A51" s="11">
        <v>35977</v>
      </c>
      <c r="B51" s="5" t="s">
        <v>39</v>
      </c>
      <c r="C51" s="9">
        <v>64</v>
      </c>
      <c r="D51" s="9">
        <v>16</v>
      </c>
      <c r="E51" s="5">
        <v>288</v>
      </c>
      <c r="F51" s="9">
        <v>27648</v>
      </c>
      <c r="G51" s="14">
        <v>9216</v>
      </c>
    </row>
    <row r="52" spans="1:7" x14ac:dyDescent="0.3">
      <c r="A52" s="11">
        <v>35977</v>
      </c>
      <c r="B52" s="5" t="s">
        <v>39</v>
      </c>
      <c r="C52" s="9">
        <v>39</v>
      </c>
      <c r="D52" s="9">
        <v>9.75</v>
      </c>
      <c r="E52" s="5">
        <v>290</v>
      </c>
      <c r="F52" s="9">
        <v>16965</v>
      </c>
      <c r="G52" s="14">
        <v>5655</v>
      </c>
    </row>
    <row r="53" spans="1:7" x14ac:dyDescent="0.3">
      <c r="A53" s="11">
        <v>36100</v>
      </c>
      <c r="B53" s="5" t="s">
        <v>45</v>
      </c>
      <c r="C53" s="9">
        <v>46</v>
      </c>
      <c r="D53" s="9">
        <v>11.5</v>
      </c>
      <c r="E53" s="5">
        <v>17</v>
      </c>
      <c r="F53" s="9">
        <v>1173</v>
      </c>
      <c r="G53" s="14">
        <v>391</v>
      </c>
    </row>
    <row r="54" spans="1:7" x14ac:dyDescent="0.3">
      <c r="A54" s="11">
        <v>36100</v>
      </c>
      <c r="B54" s="5" t="s">
        <v>44</v>
      </c>
      <c r="C54" s="9">
        <v>28</v>
      </c>
      <c r="D54" s="9">
        <v>7</v>
      </c>
      <c r="E54" s="5">
        <v>18</v>
      </c>
      <c r="F54" s="9">
        <v>756</v>
      </c>
      <c r="G54" s="14">
        <v>252</v>
      </c>
    </row>
    <row r="55" spans="1:7" x14ac:dyDescent="0.3">
      <c r="A55" s="11">
        <v>36100</v>
      </c>
      <c r="B55" s="5" t="s">
        <v>38</v>
      </c>
      <c r="C55" s="9">
        <v>34</v>
      </c>
      <c r="D55" s="9">
        <v>8.5</v>
      </c>
      <c r="E55" s="5">
        <v>24</v>
      </c>
      <c r="F55" s="9">
        <v>1224</v>
      </c>
      <c r="G55" s="14">
        <v>408</v>
      </c>
    </row>
    <row r="56" spans="1:7" x14ac:dyDescent="0.3">
      <c r="A56" s="11">
        <v>36100</v>
      </c>
      <c r="B56" s="5" t="s">
        <v>38</v>
      </c>
      <c r="C56" s="9">
        <v>71</v>
      </c>
      <c r="D56" s="9">
        <v>17.75</v>
      </c>
      <c r="E56" s="5">
        <v>32</v>
      </c>
      <c r="F56" s="9">
        <v>3408</v>
      </c>
      <c r="G56" s="14">
        <v>1136</v>
      </c>
    </row>
    <row r="57" spans="1:7" x14ac:dyDescent="0.3">
      <c r="A57" s="11">
        <v>36100</v>
      </c>
      <c r="B57" s="5" t="s">
        <v>40</v>
      </c>
      <c r="C57" s="9">
        <v>62</v>
      </c>
      <c r="D57" s="9">
        <v>15.5</v>
      </c>
      <c r="E57" s="5">
        <v>32</v>
      </c>
      <c r="F57" s="9">
        <v>2976</v>
      </c>
      <c r="G57" s="14">
        <v>992</v>
      </c>
    </row>
    <row r="58" spans="1:7" x14ac:dyDescent="0.3">
      <c r="A58" s="11">
        <v>36100</v>
      </c>
      <c r="B58" s="5" t="s">
        <v>46</v>
      </c>
      <c r="C58" s="9">
        <v>70</v>
      </c>
      <c r="D58" s="9">
        <v>17.5</v>
      </c>
      <c r="E58" s="5">
        <v>67</v>
      </c>
      <c r="F58" s="9">
        <v>7035</v>
      </c>
      <c r="G58" s="14">
        <v>2345</v>
      </c>
    </row>
    <row r="59" spans="1:7" x14ac:dyDescent="0.3">
      <c r="A59" s="11">
        <v>36100</v>
      </c>
      <c r="B59" s="5" t="s">
        <v>44</v>
      </c>
      <c r="C59" s="9">
        <v>46</v>
      </c>
      <c r="D59" s="9">
        <v>11.5</v>
      </c>
      <c r="E59" s="5">
        <v>140</v>
      </c>
      <c r="F59" s="9">
        <v>9660</v>
      </c>
      <c r="G59" s="14">
        <v>3220</v>
      </c>
    </row>
    <row r="60" spans="1:7" x14ac:dyDescent="0.3">
      <c r="A60" s="11">
        <v>36100</v>
      </c>
      <c r="B60" s="5" t="s">
        <v>46</v>
      </c>
      <c r="C60" s="9">
        <v>92</v>
      </c>
      <c r="D60" s="9">
        <v>23</v>
      </c>
      <c r="E60" s="5">
        <v>151</v>
      </c>
      <c r="F60" s="9">
        <v>20838</v>
      </c>
      <c r="G60" s="14">
        <v>6946</v>
      </c>
    </row>
    <row r="61" spans="1:7" x14ac:dyDescent="0.3">
      <c r="A61" s="11">
        <v>36100</v>
      </c>
      <c r="B61" s="5" t="s">
        <v>42</v>
      </c>
      <c r="C61" s="9">
        <v>73</v>
      </c>
      <c r="D61" s="9">
        <v>18.25</v>
      </c>
      <c r="E61" s="5">
        <v>231</v>
      </c>
      <c r="F61" s="9">
        <v>25294.5</v>
      </c>
      <c r="G61" s="14">
        <v>8431.5</v>
      </c>
    </row>
    <row r="62" spans="1:7" x14ac:dyDescent="0.3">
      <c r="A62" s="11">
        <v>36100</v>
      </c>
      <c r="B62" s="5" t="s">
        <v>41</v>
      </c>
      <c r="C62" s="9">
        <v>92</v>
      </c>
      <c r="D62" s="9">
        <v>23</v>
      </c>
      <c r="E62" s="5">
        <v>253</v>
      </c>
      <c r="F62" s="9">
        <v>34914</v>
      </c>
      <c r="G62" s="14">
        <v>11638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zoomScale="87" workbookViewId="0">
      <selection activeCell="D56" sqref="D56"/>
    </sheetView>
  </sheetViews>
  <sheetFormatPr defaultRowHeight="14.4" outlineLevelRow="2" x14ac:dyDescent="0.3"/>
  <cols>
    <col min="1" max="1" width="18.88671875" bestFit="1" customWidth="1"/>
    <col min="2" max="2" width="13.6640625" bestFit="1" customWidth="1"/>
    <col min="3" max="3" width="15.33203125" bestFit="1" customWidth="1"/>
    <col min="4" max="4" width="17.6640625" bestFit="1" customWidth="1"/>
    <col min="5" max="5" width="16.109375" bestFit="1" customWidth="1"/>
    <col min="6" max="6" width="21.109375" bestFit="1" customWidth="1"/>
    <col min="7" max="7" width="14" bestFit="1" customWidth="1"/>
  </cols>
  <sheetData>
    <row r="1" spans="1:7" x14ac:dyDescent="0.3">
      <c r="A1" s="8" t="s">
        <v>49</v>
      </c>
      <c r="B1" s="8" t="s">
        <v>50</v>
      </c>
      <c r="C1" s="8" t="s">
        <v>51</v>
      </c>
      <c r="D1" s="8" t="s">
        <v>52</v>
      </c>
      <c r="E1" s="8" t="s">
        <v>53</v>
      </c>
      <c r="F1" s="8" t="s">
        <v>54</v>
      </c>
      <c r="G1" s="13" t="s">
        <v>48</v>
      </c>
    </row>
    <row r="2" spans="1:7" hidden="1" outlineLevel="2" x14ac:dyDescent="0.3">
      <c r="A2" s="11">
        <v>35125</v>
      </c>
      <c r="B2" s="5" t="s">
        <v>45</v>
      </c>
      <c r="C2" s="9">
        <v>20</v>
      </c>
      <c r="D2" s="9">
        <v>5</v>
      </c>
      <c r="E2" s="5">
        <v>17</v>
      </c>
      <c r="F2" s="9">
        <v>510</v>
      </c>
      <c r="G2" s="14">
        <v>170</v>
      </c>
    </row>
    <row r="3" spans="1:7" hidden="1" outlineLevel="2" x14ac:dyDescent="0.3">
      <c r="A3" s="11">
        <v>35125</v>
      </c>
      <c r="B3" s="5" t="s">
        <v>37</v>
      </c>
      <c r="C3" s="9">
        <v>36</v>
      </c>
      <c r="D3" s="9">
        <v>9</v>
      </c>
      <c r="E3" s="5">
        <v>50</v>
      </c>
      <c r="F3" s="9">
        <v>2700</v>
      </c>
      <c r="G3" s="14">
        <v>900</v>
      </c>
    </row>
    <row r="4" spans="1:7" hidden="1" outlineLevel="2" x14ac:dyDescent="0.3">
      <c r="A4" s="11">
        <v>35125</v>
      </c>
      <c r="B4" s="5" t="s">
        <v>44</v>
      </c>
      <c r="C4" s="9">
        <v>56</v>
      </c>
      <c r="D4" s="9">
        <v>14</v>
      </c>
      <c r="E4" s="5">
        <v>58</v>
      </c>
      <c r="F4" s="9">
        <v>4872</v>
      </c>
      <c r="G4" s="14">
        <v>1624</v>
      </c>
    </row>
    <row r="5" spans="1:7" hidden="1" outlineLevel="2" x14ac:dyDescent="0.3">
      <c r="A5" s="11">
        <v>35125</v>
      </c>
      <c r="B5" s="5" t="s">
        <v>41</v>
      </c>
      <c r="C5" s="9">
        <v>60</v>
      </c>
      <c r="D5" s="9">
        <v>15</v>
      </c>
      <c r="E5" s="5">
        <v>77</v>
      </c>
      <c r="F5" s="9">
        <v>6930</v>
      </c>
      <c r="G5" s="14">
        <v>2310</v>
      </c>
    </row>
    <row r="6" spans="1:7" hidden="1" outlineLevel="2" x14ac:dyDescent="0.3">
      <c r="A6" s="11">
        <v>35125</v>
      </c>
      <c r="B6" s="5" t="s">
        <v>41</v>
      </c>
      <c r="C6" s="9">
        <v>90</v>
      </c>
      <c r="D6" s="9">
        <v>22.5</v>
      </c>
      <c r="E6" s="5">
        <v>87</v>
      </c>
      <c r="F6" s="9">
        <v>11745</v>
      </c>
      <c r="G6" s="14">
        <v>3915</v>
      </c>
    </row>
    <row r="7" spans="1:7" hidden="1" outlineLevel="2" x14ac:dyDescent="0.3">
      <c r="A7" s="11">
        <v>35125</v>
      </c>
      <c r="B7" s="5" t="s">
        <v>46</v>
      </c>
      <c r="C7" s="9">
        <v>59</v>
      </c>
      <c r="D7" s="9">
        <v>14.75</v>
      </c>
      <c r="E7" s="5">
        <v>118</v>
      </c>
      <c r="F7" s="9">
        <v>10443</v>
      </c>
      <c r="G7" s="14">
        <v>3481</v>
      </c>
    </row>
    <row r="8" spans="1:7" hidden="1" outlineLevel="2" x14ac:dyDescent="0.3">
      <c r="A8" s="11">
        <v>35125</v>
      </c>
      <c r="B8" s="5" t="s">
        <v>41</v>
      </c>
      <c r="C8" s="9">
        <v>56</v>
      </c>
      <c r="D8" s="9">
        <v>14</v>
      </c>
      <c r="E8" s="5">
        <v>127</v>
      </c>
      <c r="F8" s="9">
        <v>10668</v>
      </c>
      <c r="G8" s="14">
        <v>3556</v>
      </c>
    </row>
    <row r="9" spans="1:7" hidden="1" outlineLevel="2" x14ac:dyDescent="0.3">
      <c r="A9" s="11">
        <v>35125</v>
      </c>
      <c r="B9" s="5" t="s">
        <v>42</v>
      </c>
      <c r="C9" s="9">
        <v>64</v>
      </c>
      <c r="D9" s="9">
        <v>16</v>
      </c>
      <c r="E9" s="5">
        <v>130</v>
      </c>
      <c r="F9" s="9">
        <v>12480</v>
      </c>
      <c r="G9" s="14">
        <v>4160</v>
      </c>
    </row>
    <row r="10" spans="1:7" hidden="1" outlineLevel="2" x14ac:dyDescent="0.3">
      <c r="A10" s="11">
        <v>35125</v>
      </c>
      <c r="B10" s="5" t="s">
        <v>46</v>
      </c>
      <c r="C10" s="9">
        <v>25</v>
      </c>
      <c r="D10" s="9">
        <v>6.25</v>
      </c>
      <c r="E10" s="5">
        <v>210</v>
      </c>
      <c r="F10" s="9">
        <v>7875</v>
      </c>
      <c r="G10" s="14">
        <v>2625</v>
      </c>
    </row>
    <row r="11" spans="1:7" hidden="1" outlineLevel="2" x14ac:dyDescent="0.3">
      <c r="A11" s="11">
        <v>35125</v>
      </c>
      <c r="B11" s="5" t="s">
        <v>37</v>
      </c>
      <c r="C11" s="9">
        <v>83</v>
      </c>
      <c r="D11" s="9">
        <v>20.75</v>
      </c>
      <c r="E11" s="5">
        <v>297</v>
      </c>
      <c r="F11" s="9">
        <v>36976.5</v>
      </c>
      <c r="G11" s="14">
        <v>12325.5</v>
      </c>
    </row>
    <row r="12" spans="1:7" outlineLevel="1" collapsed="1" x14ac:dyDescent="0.3">
      <c r="A12" s="18" t="s">
        <v>62</v>
      </c>
      <c r="B12" s="5"/>
      <c r="C12" s="9"/>
      <c r="D12" s="9"/>
      <c r="E12" s="5"/>
      <c r="F12" s="9"/>
      <c r="G12" s="14">
        <f>SUBTOTAL(9,G2:G11)</f>
        <v>35066.5</v>
      </c>
    </row>
    <row r="13" spans="1:7" hidden="1" outlineLevel="2" x14ac:dyDescent="0.3">
      <c r="A13" s="11">
        <v>35311</v>
      </c>
      <c r="B13" s="5" t="s">
        <v>44</v>
      </c>
      <c r="C13" s="9">
        <v>92</v>
      </c>
      <c r="D13" s="9">
        <v>23</v>
      </c>
      <c r="E13" s="5">
        <v>44</v>
      </c>
      <c r="F13" s="9">
        <v>6072</v>
      </c>
      <c r="G13" s="14">
        <v>2024</v>
      </c>
    </row>
    <row r="14" spans="1:7" hidden="1" outlineLevel="2" x14ac:dyDescent="0.3">
      <c r="A14" s="11">
        <v>35311</v>
      </c>
      <c r="B14" s="5" t="s">
        <v>41</v>
      </c>
      <c r="C14" s="9">
        <v>75</v>
      </c>
      <c r="D14" s="9">
        <v>18.75</v>
      </c>
      <c r="E14" s="5">
        <v>49</v>
      </c>
      <c r="F14" s="9">
        <v>5512.5</v>
      </c>
      <c r="G14" s="14">
        <v>1837.5</v>
      </c>
    </row>
    <row r="15" spans="1:7" hidden="1" outlineLevel="2" x14ac:dyDescent="0.3">
      <c r="A15" s="11">
        <v>35311</v>
      </c>
      <c r="B15" s="5" t="s">
        <v>41</v>
      </c>
      <c r="C15" s="9">
        <v>67</v>
      </c>
      <c r="D15" s="9">
        <v>16.75</v>
      </c>
      <c r="E15" s="5">
        <v>66</v>
      </c>
      <c r="F15" s="9">
        <v>6633</v>
      </c>
      <c r="G15" s="14">
        <v>2211</v>
      </c>
    </row>
    <row r="16" spans="1:7" hidden="1" outlineLevel="2" x14ac:dyDescent="0.3">
      <c r="A16" s="11">
        <v>35311</v>
      </c>
      <c r="B16" s="5" t="s">
        <v>44</v>
      </c>
      <c r="C16" s="9">
        <v>74</v>
      </c>
      <c r="D16" s="9">
        <v>18.5</v>
      </c>
      <c r="E16" s="5">
        <v>68</v>
      </c>
      <c r="F16" s="9">
        <v>7548</v>
      </c>
      <c r="G16" s="14">
        <v>2516</v>
      </c>
    </row>
    <row r="17" spans="1:7" hidden="1" outlineLevel="2" x14ac:dyDescent="0.3">
      <c r="A17" s="11">
        <v>35311</v>
      </c>
      <c r="B17" s="5" t="s">
        <v>40</v>
      </c>
      <c r="C17" s="9">
        <v>58</v>
      </c>
      <c r="D17" s="9">
        <v>14.5</v>
      </c>
      <c r="E17" s="5">
        <v>77</v>
      </c>
      <c r="F17" s="9">
        <v>6699</v>
      </c>
      <c r="G17" s="14">
        <v>2233</v>
      </c>
    </row>
    <row r="18" spans="1:7" hidden="1" outlineLevel="2" x14ac:dyDescent="0.3">
      <c r="A18" s="11">
        <v>35311</v>
      </c>
      <c r="B18" s="5" t="s">
        <v>43</v>
      </c>
      <c r="C18" s="9">
        <v>36</v>
      </c>
      <c r="D18" s="9">
        <v>9</v>
      </c>
      <c r="E18" s="5">
        <v>148</v>
      </c>
      <c r="F18" s="9">
        <v>7992</v>
      </c>
      <c r="G18" s="14">
        <v>2664</v>
      </c>
    </row>
    <row r="19" spans="1:7" hidden="1" outlineLevel="2" x14ac:dyDescent="0.3">
      <c r="A19" s="11">
        <v>35311</v>
      </c>
      <c r="B19" s="5" t="s">
        <v>42</v>
      </c>
      <c r="C19" s="9">
        <v>67</v>
      </c>
      <c r="D19" s="9">
        <v>16.75</v>
      </c>
      <c r="E19" s="5">
        <v>153</v>
      </c>
      <c r="F19" s="9">
        <v>15376.5</v>
      </c>
      <c r="G19" s="14">
        <v>5125.5</v>
      </c>
    </row>
    <row r="20" spans="1:7" hidden="1" outlineLevel="2" x14ac:dyDescent="0.3">
      <c r="A20" s="11">
        <v>35311</v>
      </c>
      <c r="B20" s="5" t="s">
        <v>46</v>
      </c>
      <c r="C20" s="9">
        <v>23</v>
      </c>
      <c r="D20" s="9">
        <v>5.75</v>
      </c>
      <c r="E20" s="5">
        <v>155</v>
      </c>
      <c r="F20" s="9">
        <v>5347.5</v>
      </c>
      <c r="G20" s="14">
        <v>1782.5</v>
      </c>
    </row>
    <row r="21" spans="1:7" hidden="1" outlineLevel="2" x14ac:dyDescent="0.3">
      <c r="A21" s="11">
        <v>35311</v>
      </c>
      <c r="B21" s="5" t="s">
        <v>43</v>
      </c>
      <c r="C21" s="9">
        <v>56</v>
      </c>
      <c r="D21" s="9">
        <v>14</v>
      </c>
      <c r="E21" s="5">
        <v>194</v>
      </c>
      <c r="F21" s="9">
        <v>16296</v>
      </c>
      <c r="G21" s="14">
        <v>5432</v>
      </c>
    </row>
    <row r="22" spans="1:7" hidden="1" outlineLevel="2" x14ac:dyDescent="0.3">
      <c r="A22" s="11">
        <v>35311</v>
      </c>
      <c r="B22" s="5" t="s">
        <v>44</v>
      </c>
      <c r="C22" s="9">
        <v>54</v>
      </c>
      <c r="D22" s="9">
        <v>13.5</v>
      </c>
      <c r="E22" s="5">
        <v>269</v>
      </c>
      <c r="F22" s="9">
        <v>21789</v>
      </c>
      <c r="G22" s="14">
        <v>7263</v>
      </c>
    </row>
    <row r="23" spans="1:7" outlineLevel="1" collapsed="1" x14ac:dyDescent="0.3">
      <c r="A23" s="19" t="s">
        <v>63</v>
      </c>
      <c r="B23" s="5"/>
      <c r="C23" s="9"/>
      <c r="D23" s="9"/>
      <c r="E23" s="5"/>
      <c r="F23" s="9"/>
      <c r="G23" s="14">
        <f>SUBTOTAL(9,G13:G22)</f>
        <v>33088.5</v>
      </c>
    </row>
    <row r="24" spans="1:7" hidden="1" outlineLevel="2" x14ac:dyDescent="0.3">
      <c r="A24" s="11">
        <v>35462</v>
      </c>
      <c r="B24" s="5" t="s">
        <v>38</v>
      </c>
      <c r="C24" s="9">
        <v>21</v>
      </c>
      <c r="D24" s="9">
        <v>5.25</v>
      </c>
      <c r="E24" s="5">
        <v>40</v>
      </c>
      <c r="F24" s="9">
        <v>1260</v>
      </c>
      <c r="G24" s="14">
        <v>420</v>
      </c>
    </row>
    <row r="25" spans="1:7" hidden="1" outlineLevel="2" x14ac:dyDescent="0.3">
      <c r="A25" s="11">
        <v>35462</v>
      </c>
      <c r="B25" s="5" t="s">
        <v>44</v>
      </c>
      <c r="C25" s="9">
        <v>46</v>
      </c>
      <c r="D25" s="9">
        <v>11.5</v>
      </c>
      <c r="E25" s="5">
        <v>59</v>
      </c>
      <c r="F25" s="9">
        <v>4071</v>
      </c>
      <c r="G25" s="14">
        <v>1357</v>
      </c>
    </row>
    <row r="26" spans="1:7" hidden="1" outlineLevel="2" x14ac:dyDescent="0.3">
      <c r="A26" s="11">
        <v>35462</v>
      </c>
      <c r="B26" s="5" t="s">
        <v>38</v>
      </c>
      <c r="C26" s="9">
        <v>46</v>
      </c>
      <c r="D26" s="9">
        <v>11.5</v>
      </c>
      <c r="E26" s="5">
        <v>149</v>
      </c>
      <c r="F26" s="9">
        <v>10281</v>
      </c>
      <c r="G26" s="14">
        <v>3427</v>
      </c>
    </row>
    <row r="27" spans="1:7" hidden="1" outlineLevel="2" x14ac:dyDescent="0.3">
      <c r="A27" s="11">
        <v>35462</v>
      </c>
      <c r="B27" s="5" t="s">
        <v>42</v>
      </c>
      <c r="C27" s="9">
        <v>21</v>
      </c>
      <c r="D27" s="9">
        <v>5.25</v>
      </c>
      <c r="E27" s="5">
        <v>165</v>
      </c>
      <c r="F27" s="9">
        <v>5197.5</v>
      </c>
      <c r="G27" s="14">
        <v>1732.5</v>
      </c>
    </row>
    <row r="28" spans="1:7" hidden="1" outlineLevel="2" x14ac:dyDescent="0.3">
      <c r="A28" s="11">
        <v>35462</v>
      </c>
      <c r="B28" s="5" t="s">
        <v>40</v>
      </c>
      <c r="C28" s="9">
        <v>72</v>
      </c>
      <c r="D28" s="9">
        <v>18</v>
      </c>
      <c r="E28" s="5">
        <v>175</v>
      </c>
      <c r="F28" s="9">
        <v>18900</v>
      </c>
      <c r="G28" s="14">
        <v>6300</v>
      </c>
    </row>
    <row r="29" spans="1:7" hidden="1" outlineLevel="2" x14ac:dyDescent="0.3">
      <c r="A29" s="11">
        <v>35462</v>
      </c>
      <c r="B29" s="5" t="s">
        <v>41</v>
      </c>
      <c r="C29" s="9">
        <v>29</v>
      </c>
      <c r="D29" s="9">
        <v>7.25</v>
      </c>
      <c r="E29" s="5">
        <v>230</v>
      </c>
      <c r="F29" s="9">
        <v>10005</v>
      </c>
      <c r="G29" s="14">
        <v>3335</v>
      </c>
    </row>
    <row r="30" spans="1:7" hidden="1" outlineLevel="2" x14ac:dyDescent="0.3">
      <c r="A30" s="11">
        <v>35462</v>
      </c>
      <c r="B30" s="5" t="s">
        <v>38</v>
      </c>
      <c r="C30" s="9">
        <v>88</v>
      </c>
      <c r="D30" s="9">
        <v>22</v>
      </c>
      <c r="E30" s="5">
        <v>233</v>
      </c>
      <c r="F30" s="9">
        <v>30756</v>
      </c>
      <c r="G30" s="14">
        <v>10252</v>
      </c>
    </row>
    <row r="31" spans="1:7" hidden="1" outlineLevel="2" x14ac:dyDescent="0.3">
      <c r="A31" s="11">
        <v>35462</v>
      </c>
      <c r="B31" s="5" t="s">
        <v>41</v>
      </c>
      <c r="C31" s="9">
        <v>45</v>
      </c>
      <c r="D31" s="9">
        <v>11.25</v>
      </c>
      <c r="E31" s="5">
        <v>237</v>
      </c>
      <c r="F31" s="9">
        <v>15997.5</v>
      </c>
      <c r="G31" s="14">
        <v>5332.5</v>
      </c>
    </row>
    <row r="32" spans="1:7" hidden="1" outlineLevel="2" x14ac:dyDescent="0.3">
      <c r="A32" s="11">
        <v>35462</v>
      </c>
      <c r="B32" s="5" t="s">
        <v>43</v>
      </c>
      <c r="C32" s="9">
        <v>56</v>
      </c>
      <c r="D32" s="9">
        <v>14</v>
      </c>
      <c r="E32" s="5">
        <v>242</v>
      </c>
      <c r="F32" s="9">
        <v>20328</v>
      </c>
      <c r="G32" s="14">
        <v>6776</v>
      </c>
    </row>
    <row r="33" spans="1:7" hidden="1" outlineLevel="2" x14ac:dyDescent="0.3">
      <c r="A33" s="11">
        <v>35462</v>
      </c>
      <c r="B33" s="5" t="s">
        <v>43</v>
      </c>
      <c r="C33" s="9">
        <v>35</v>
      </c>
      <c r="D33" s="9">
        <v>8.75</v>
      </c>
      <c r="E33" s="5">
        <v>259</v>
      </c>
      <c r="F33" s="9">
        <v>13597.5</v>
      </c>
      <c r="G33" s="14">
        <v>4532.5</v>
      </c>
    </row>
    <row r="34" spans="1:7" outlineLevel="1" collapsed="1" x14ac:dyDescent="0.3">
      <c r="A34" s="19" t="s">
        <v>64</v>
      </c>
      <c r="B34" s="5"/>
      <c r="C34" s="9"/>
      <c r="D34" s="9"/>
      <c r="E34" s="5"/>
      <c r="F34" s="9"/>
      <c r="G34" s="14">
        <f>SUBTOTAL(9,G24:G33)</f>
        <v>43464.5</v>
      </c>
    </row>
    <row r="35" spans="1:7" hidden="1" outlineLevel="2" x14ac:dyDescent="0.3">
      <c r="A35" s="11">
        <v>35551</v>
      </c>
      <c r="B35" s="5" t="s">
        <v>41</v>
      </c>
      <c r="C35" s="9">
        <v>77</v>
      </c>
      <c r="D35" s="9">
        <v>19.25</v>
      </c>
      <c r="E35" s="5">
        <v>20</v>
      </c>
      <c r="F35" s="9">
        <v>2310</v>
      </c>
      <c r="G35" s="14">
        <v>770</v>
      </c>
    </row>
    <row r="36" spans="1:7" hidden="1" outlineLevel="2" x14ac:dyDescent="0.3">
      <c r="A36" s="11">
        <v>35551</v>
      </c>
      <c r="B36" s="5" t="s">
        <v>39</v>
      </c>
      <c r="C36" s="9">
        <v>33</v>
      </c>
      <c r="D36" s="9">
        <v>8.25</v>
      </c>
      <c r="E36" s="5">
        <v>36</v>
      </c>
      <c r="F36" s="9">
        <v>1782</v>
      </c>
      <c r="G36" s="14">
        <v>594</v>
      </c>
    </row>
    <row r="37" spans="1:7" hidden="1" outlineLevel="2" x14ac:dyDescent="0.3">
      <c r="A37" s="11">
        <v>35551</v>
      </c>
      <c r="B37" s="5" t="s">
        <v>45</v>
      </c>
      <c r="C37" s="9">
        <v>97</v>
      </c>
      <c r="D37" s="9">
        <v>24.25</v>
      </c>
      <c r="E37" s="5">
        <v>50</v>
      </c>
      <c r="F37" s="9">
        <v>7275</v>
      </c>
      <c r="G37" s="14">
        <v>2425</v>
      </c>
    </row>
    <row r="38" spans="1:7" hidden="1" outlineLevel="2" x14ac:dyDescent="0.3">
      <c r="A38" s="11">
        <v>35551</v>
      </c>
      <c r="B38" s="5" t="s">
        <v>37</v>
      </c>
      <c r="C38" s="9">
        <v>39</v>
      </c>
      <c r="D38" s="9">
        <v>9.75</v>
      </c>
      <c r="E38" s="5">
        <v>65</v>
      </c>
      <c r="F38" s="9">
        <v>3802.5</v>
      </c>
      <c r="G38" s="14">
        <v>1267.5</v>
      </c>
    </row>
    <row r="39" spans="1:7" hidden="1" outlineLevel="2" x14ac:dyDescent="0.3">
      <c r="A39" s="11">
        <v>35551</v>
      </c>
      <c r="B39" s="5" t="s">
        <v>39</v>
      </c>
      <c r="C39" s="9">
        <v>33</v>
      </c>
      <c r="D39" s="9">
        <v>8.25</v>
      </c>
      <c r="E39" s="5">
        <v>179</v>
      </c>
      <c r="F39" s="9">
        <v>8860.5</v>
      </c>
      <c r="G39" s="14">
        <v>2953.5</v>
      </c>
    </row>
    <row r="40" spans="1:7" hidden="1" outlineLevel="2" x14ac:dyDescent="0.3">
      <c r="A40" s="11">
        <v>35551</v>
      </c>
      <c r="B40" s="5" t="s">
        <v>42</v>
      </c>
      <c r="C40" s="9">
        <v>56</v>
      </c>
      <c r="D40" s="9">
        <v>14</v>
      </c>
      <c r="E40" s="5">
        <v>188</v>
      </c>
      <c r="F40" s="9">
        <v>15792</v>
      </c>
      <c r="G40" s="14">
        <v>5264</v>
      </c>
    </row>
    <row r="41" spans="1:7" hidden="1" outlineLevel="2" x14ac:dyDescent="0.3">
      <c r="A41" s="11">
        <v>35551</v>
      </c>
      <c r="B41" s="5" t="s">
        <v>40</v>
      </c>
      <c r="C41" s="9">
        <v>33</v>
      </c>
      <c r="D41" s="9">
        <v>8.25</v>
      </c>
      <c r="E41" s="5">
        <v>195</v>
      </c>
      <c r="F41" s="9">
        <v>9652.5</v>
      </c>
      <c r="G41" s="14">
        <v>3217.5</v>
      </c>
    </row>
    <row r="42" spans="1:7" hidden="1" outlineLevel="2" x14ac:dyDescent="0.3">
      <c r="A42" s="11">
        <v>35551</v>
      </c>
      <c r="B42" s="5" t="s">
        <v>43</v>
      </c>
      <c r="C42" s="9">
        <v>89</v>
      </c>
      <c r="D42" s="9">
        <v>22.25</v>
      </c>
      <c r="E42" s="5">
        <v>215</v>
      </c>
      <c r="F42" s="9">
        <v>28702.5</v>
      </c>
      <c r="G42" s="14">
        <v>9567.5</v>
      </c>
    </row>
    <row r="43" spans="1:7" hidden="1" outlineLevel="2" x14ac:dyDescent="0.3">
      <c r="A43" s="11">
        <v>35551</v>
      </c>
      <c r="B43" s="5" t="s">
        <v>42</v>
      </c>
      <c r="C43" s="9">
        <v>82</v>
      </c>
      <c r="D43" s="9">
        <v>20.5</v>
      </c>
      <c r="E43" s="5">
        <v>234</v>
      </c>
      <c r="F43" s="9">
        <v>28782</v>
      </c>
      <c r="G43" s="14">
        <v>9594</v>
      </c>
    </row>
    <row r="44" spans="1:7" hidden="1" outlineLevel="2" x14ac:dyDescent="0.3">
      <c r="A44" s="11">
        <v>35551</v>
      </c>
      <c r="B44" s="5" t="s">
        <v>39</v>
      </c>
      <c r="C44" s="9">
        <v>39</v>
      </c>
      <c r="D44" s="9">
        <v>9.75</v>
      </c>
      <c r="E44" s="5">
        <v>235</v>
      </c>
      <c r="F44" s="9">
        <v>13747.5</v>
      </c>
      <c r="G44" s="14">
        <v>4582.5</v>
      </c>
    </row>
    <row r="45" spans="1:7" outlineLevel="1" collapsed="1" x14ac:dyDescent="0.3">
      <c r="A45" s="19" t="s">
        <v>65</v>
      </c>
      <c r="B45" s="5"/>
      <c r="C45" s="9"/>
      <c r="D45" s="9"/>
      <c r="E45" s="5"/>
      <c r="F45" s="9"/>
      <c r="G45" s="14">
        <f>SUBTOTAL(9,G35:G44)</f>
        <v>40235.5</v>
      </c>
    </row>
    <row r="46" spans="1:7" hidden="1" outlineLevel="2" x14ac:dyDescent="0.3">
      <c r="A46" s="11">
        <v>35977</v>
      </c>
      <c r="B46" s="5" t="s">
        <v>42</v>
      </c>
      <c r="C46" s="9">
        <v>82</v>
      </c>
      <c r="D46" s="9">
        <v>20.5</v>
      </c>
      <c r="E46" s="5">
        <v>40</v>
      </c>
      <c r="F46" s="9">
        <v>4920</v>
      </c>
      <c r="G46" s="14">
        <v>1640</v>
      </c>
    </row>
    <row r="47" spans="1:7" hidden="1" outlineLevel="2" x14ac:dyDescent="0.3">
      <c r="A47" s="11">
        <v>35977</v>
      </c>
      <c r="B47" s="5" t="s">
        <v>38</v>
      </c>
      <c r="C47" s="9">
        <v>53</v>
      </c>
      <c r="D47" s="9">
        <v>13.25</v>
      </c>
      <c r="E47" s="5">
        <v>43</v>
      </c>
      <c r="F47" s="9">
        <v>3418.5</v>
      </c>
      <c r="G47" s="14">
        <v>1139.5</v>
      </c>
    </row>
    <row r="48" spans="1:7" hidden="1" outlineLevel="2" x14ac:dyDescent="0.3">
      <c r="A48" s="11">
        <v>35977</v>
      </c>
      <c r="B48" s="5" t="s">
        <v>42</v>
      </c>
      <c r="C48" s="9">
        <v>57</v>
      </c>
      <c r="D48" s="9">
        <v>14.25</v>
      </c>
      <c r="E48" s="5">
        <v>58</v>
      </c>
      <c r="F48" s="9">
        <v>4959</v>
      </c>
      <c r="G48" s="14">
        <v>1653</v>
      </c>
    </row>
    <row r="49" spans="1:7" hidden="1" outlineLevel="2" x14ac:dyDescent="0.3">
      <c r="A49" s="11">
        <v>35977</v>
      </c>
      <c r="B49" s="5" t="s">
        <v>41</v>
      </c>
      <c r="C49" s="9">
        <v>44</v>
      </c>
      <c r="D49" s="9">
        <v>11</v>
      </c>
      <c r="E49" s="5">
        <v>72</v>
      </c>
      <c r="F49" s="9">
        <v>4752</v>
      </c>
      <c r="G49" s="14">
        <v>1584</v>
      </c>
    </row>
    <row r="50" spans="1:7" hidden="1" outlineLevel="2" x14ac:dyDescent="0.3">
      <c r="A50" s="11">
        <v>35977</v>
      </c>
      <c r="B50" s="5" t="s">
        <v>42</v>
      </c>
      <c r="C50" s="9">
        <v>36</v>
      </c>
      <c r="D50" s="9">
        <v>9</v>
      </c>
      <c r="E50" s="5">
        <v>89</v>
      </c>
      <c r="F50" s="9">
        <v>4806</v>
      </c>
      <c r="G50" s="14">
        <v>1602</v>
      </c>
    </row>
    <row r="51" spans="1:7" hidden="1" outlineLevel="2" x14ac:dyDescent="0.3">
      <c r="A51" s="11">
        <v>35977</v>
      </c>
      <c r="B51" s="5" t="s">
        <v>43</v>
      </c>
      <c r="C51" s="9">
        <v>35</v>
      </c>
      <c r="D51" s="9">
        <v>8.75</v>
      </c>
      <c r="E51" s="5">
        <v>128</v>
      </c>
      <c r="F51" s="9">
        <v>6720</v>
      </c>
      <c r="G51" s="14">
        <v>2240</v>
      </c>
    </row>
    <row r="52" spans="1:7" hidden="1" outlineLevel="2" x14ac:dyDescent="0.3">
      <c r="A52" s="11">
        <v>35977</v>
      </c>
      <c r="B52" s="5" t="s">
        <v>45</v>
      </c>
      <c r="C52" s="9">
        <v>79</v>
      </c>
      <c r="D52" s="9">
        <v>19.75</v>
      </c>
      <c r="E52" s="5">
        <v>162</v>
      </c>
      <c r="F52" s="9">
        <v>19197</v>
      </c>
      <c r="G52" s="14">
        <v>6399</v>
      </c>
    </row>
    <row r="53" spans="1:7" hidden="1" outlineLevel="2" x14ac:dyDescent="0.3">
      <c r="A53" s="11">
        <v>35977</v>
      </c>
      <c r="B53" s="5" t="s">
        <v>42</v>
      </c>
      <c r="C53" s="9">
        <v>94</v>
      </c>
      <c r="D53" s="9">
        <v>23.5</v>
      </c>
      <c r="E53" s="5">
        <v>268</v>
      </c>
      <c r="F53" s="9">
        <v>37788</v>
      </c>
      <c r="G53" s="14">
        <v>12596</v>
      </c>
    </row>
    <row r="54" spans="1:7" hidden="1" outlineLevel="2" x14ac:dyDescent="0.3">
      <c r="A54" s="11">
        <v>35977</v>
      </c>
      <c r="B54" s="5" t="s">
        <v>39</v>
      </c>
      <c r="C54" s="9">
        <v>64</v>
      </c>
      <c r="D54" s="9">
        <v>16</v>
      </c>
      <c r="E54" s="5">
        <v>288</v>
      </c>
      <c r="F54" s="9">
        <v>27648</v>
      </c>
      <c r="G54" s="14">
        <v>9216</v>
      </c>
    </row>
    <row r="55" spans="1:7" hidden="1" outlineLevel="2" x14ac:dyDescent="0.3">
      <c r="A55" s="11">
        <v>35977</v>
      </c>
      <c r="B55" s="5" t="s">
        <v>39</v>
      </c>
      <c r="C55" s="9">
        <v>39</v>
      </c>
      <c r="D55" s="9">
        <v>9.75</v>
      </c>
      <c r="E55" s="5">
        <v>290</v>
      </c>
      <c r="F55" s="9">
        <v>16965</v>
      </c>
      <c r="G55" s="14">
        <v>5655</v>
      </c>
    </row>
    <row r="56" spans="1:7" outlineLevel="1" collapsed="1" x14ac:dyDescent="0.3">
      <c r="A56" s="19" t="s">
        <v>66</v>
      </c>
      <c r="B56" s="5"/>
      <c r="C56" s="9"/>
      <c r="D56" s="9"/>
      <c r="E56" s="5"/>
      <c r="F56" s="9"/>
      <c r="G56" s="14">
        <f>SUBTOTAL(9,G46:G55)</f>
        <v>43724.5</v>
      </c>
    </row>
    <row r="57" spans="1:7" hidden="1" outlineLevel="2" x14ac:dyDescent="0.3">
      <c r="A57" s="11">
        <v>36100</v>
      </c>
      <c r="B57" s="5" t="s">
        <v>45</v>
      </c>
      <c r="C57" s="9">
        <v>46</v>
      </c>
      <c r="D57" s="9">
        <v>11.5</v>
      </c>
      <c r="E57" s="5">
        <v>17</v>
      </c>
      <c r="F57" s="9">
        <v>1173</v>
      </c>
      <c r="G57" s="14">
        <v>391</v>
      </c>
    </row>
    <row r="58" spans="1:7" hidden="1" outlineLevel="2" x14ac:dyDescent="0.3">
      <c r="A58" s="11">
        <v>36100</v>
      </c>
      <c r="B58" s="5" t="s">
        <v>44</v>
      </c>
      <c r="C58" s="9">
        <v>28</v>
      </c>
      <c r="D58" s="9">
        <v>7</v>
      </c>
      <c r="E58" s="5">
        <v>18</v>
      </c>
      <c r="F58" s="9">
        <v>756</v>
      </c>
      <c r="G58" s="14">
        <v>252</v>
      </c>
    </row>
    <row r="59" spans="1:7" hidden="1" outlineLevel="2" x14ac:dyDescent="0.3">
      <c r="A59" s="11">
        <v>36100</v>
      </c>
      <c r="B59" s="5" t="s">
        <v>38</v>
      </c>
      <c r="C59" s="9">
        <v>34</v>
      </c>
      <c r="D59" s="9">
        <v>8.5</v>
      </c>
      <c r="E59" s="5">
        <v>24</v>
      </c>
      <c r="F59" s="9">
        <v>1224</v>
      </c>
      <c r="G59" s="14">
        <v>408</v>
      </c>
    </row>
    <row r="60" spans="1:7" hidden="1" outlineLevel="2" x14ac:dyDescent="0.3">
      <c r="A60" s="11">
        <v>36100</v>
      </c>
      <c r="B60" s="5" t="s">
        <v>38</v>
      </c>
      <c r="C60" s="9">
        <v>71</v>
      </c>
      <c r="D60" s="9">
        <v>17.75</v>
      </c>
      <c r="E60" s="5">
        <v>32</v>
      </c>
      <c r="F60" s="9">
        <v>3408</v>
      </c>
      <c r="G60" s="14">
        <v>1136</v>
      </c>
    </row>
    <row r="61" spans="1:7" hidden="1" outlineLevel="2" x14ac:dyDescent="0.3">
      <c r="A61" s="11">
        <v>36100</v>
      </c>
      <c r="B61" s="5" t="s">
        <v>40</v>
      </c>
      <c r="C61" s="9">
        <v>62</v>
      </c>
      <c r="D61" s="9">
        <v>15.5</v>
      </c>
      <c r="E61" s="5">
        <v>32</v>
      </c>
      <c r="F61" s="9">
        <v>2976</v>
      </c>
      <c r="G61" s="14">
        <v>992</v>
      </c>
    </row>
    <row r="62" spans="1:7" hidden="1" outlineLevel="2" x14ac:dyDescent="0.3">
      <c r="A62" s="11">
        <v>36100</v>
      </c>
      <c r="B62" s="5" t="s">
        <v>46</v>
      </c>
      <c r="C62" s="9">
        <v>70</v>
      </c>
      <c r="D62" s="9">
        <v>17.5</v>
      </c>
      <c r="E62" s="5">
        <v>67</v>
      </c>
      <c r="F62" s="9">
        <v>7035</v>
      </c>
      <c r="G62" s="14">
        <v>2345</v>
      </c>
    </row>
    <row r="63" spans="1:7" hidden="1" outlineLevel="2" x14ac:dyDescent="0.3">
      <c r="A63" s="11">
        <v>36100</v>
      </c>
      <c r="B63" s="5" t="s">
        <v>44</v>
      </c>
      <c r="C63" s="9">
        <v>46</v>
      </c>
      <c r="D63" s="9">
        <v>11.5</v>
      </c>
      <c r="E63" s="5">
        <v>140</v>
      </c>
      <c r="F63" s="9">
        <v>9660</v>
      </c>
      <c r="G63" s="14">
        <v>3220</v>
      </c>
    </row>
    <row r="64" spans="1:7" hidden="1" outlineLevel="2" x14ac:dyDescent="0.3">
      <c r="A64" s="11">
        <v>36100</v>
      </c>
      <c r="B64" s="5" t="s">
        <v>46</v>
      </c>
      <c r="C64" s="9">
        <v>92</v>
      </c>
      <c r="D64" s="9">
        <v>23</v>
      </c>
      <c r="E64" s="5">
        <v>151</v>
      </c>
      <c r="F64" s="9">
        <v>20838</v>
      </c>
      <c r="G64" s="14">
        <v>6946</v>
      </c>
    </row>
    <row r="65" spans="1:7" hidden="1" outlineLevel="2" x14ac:dyDescent="0.3">
      <c r="A65" s="11">
        <v>36100</v>
      </c>
      <c r="B65" s="5" t="s">
        <v>42</v>
      </c>
      <c r="C65" s="9">
        <v>73</v>
      </c>
      <c r="D65" s="9">
        <v>18.25</v>
      </c>
      <c r="E65" s="5">
        <v>231</v>
      </c>
      <c r="F65" s="9">
        <v>25294.5</v>
      </c>
      <c r="G65" s="14">
        <v>8431.5</v>
      </c>
    </row>
    <row r="66" spans="1:7" hidden="1" outlineLevel="2" x14ac:dyDescent="0.3">
      <c r="A66" s="11">
        <v>36100</v>
      </c>
      <c r="B66" s="5" t="s">
        <v>41</v>
      </c>
      <c r="C66" s="9">
        <v>92</v>
      </c>
      <c r="D66" s="9">
        <v>23</v>
      </c>
      <c r="E66" s="5">
        <v>253</v>
      </c>
      <c r="F66" s="9">
        <v>34914</v>
      </c>
      <c r="G66" s="14">
        <v>11638</v>
      </c>
    </row>
    <row r="67" spans="1:7" outlineLevel="1" collapsed="1" x14ac:dyDescent="0.3">
      <c r="A67" s="19" t="s">
        <v>67</v>
      </c>
      <c r="B67" s="5"/>
      <c r="C67" s="9"/>
      <c r="D67" s="9"/>
      <c r="E67" s="5"/>
      <c r="F67" s="9"/>
      <c r="G67" s="14">
        <f>SUBTOTAL(9,G57:G66)</f>
        <v>35759.5</v>
      </c>
    </row>
    <row r="68" spans="1:7" x14ac:dyDescent="0.3">
      <c r="A68" s="19" t="s">
        <v>68</v>
      </c>
      <c r="B68" s="5"/>
      <c r="C68" s="9"/>
      <c r="D68" s="9"/>
      <c r="E68" s="5"/>
      <c r="F68" s="9"/>
      <c r="G68" s="14">
        <f>SUBTOTAL(9,G2:G66)</f>
        <v>231339</v>
      </c>
    </row>
    <row r="74" spans="1:7" x14ac:dyDescent="0.3">
      <c r="A74" s="8" t="s">
        <v>49</v>
      </c>
      <c r="B74" s="8" t="s">
        <v>50</v>
      </c>
      <c r="C74" s="8" t="s">
        <v>51</v>
      </c>
      <c r="D74" s="8" t="s">
        <v>52</v>
      </c>
      <c r="E74" s="8" t="s">
        <v>53</v>
      </c>
      <c r="F74" s="8" t="s">
        <v>54</v>
      </c>
      <c r="G74" s="13" t="s">
        <v>48</v>
      </c>
    </row>
    <row r="75" spans="1:7" hidden="1" outlineLevel="2" x14ac:dyDescent="0.3">
      <c r="A75" s="11">
        <v>35125</v>
      </c>
      <c r="B75" s="22" t="s">
        <v>37</v>
      </c>
      <c r="C75" s="23">
        <v>36</v>
      </c>
      <c r="D75" s="23">
        <v>9</v>
      </c>
      <c r="E75" s="22">
        <v>50</v>
      </c>
      <c r="F75" s="23">
        <v>2700</v>
      </c>
      <c r="G75" s="24">
        <v>900</v>
      </c>
    </row>
    <row r="76" spans="1:7" hidden="1" outlineLevel="2" x14ac:dyDescent="0.3">
      <c r="A76" s="11">
        <v>35125</v>
      </c>
      <c r="B76" s="22" t="s">
        <v>37</v>
      </c>
      <c r="C76" s="23">
        <v>83</v>
      </c>
      <c r="D76" s="23">
        <v>20.75</v>
      </c>
      <c r="E76" s="22">
        <v>297</v>
      </c>
      <c r="F76" s="23">
        <v>36976.5</v>
      </c>
      <c r="G76" s="24">
        <v>12325.5</v>
      </c>
    </row>
    <row r="77" spans="1:7" hidden="1" outlineLevel="2" x14ac:dyDescent="0.3">
      <c r="A77" s="11">
        <v>35551</v>
      </c>
      <c r="B77" s="22" t="s">
        <v>37</v>
      </c>
      <c r="C77" s="23">
        <v>39</v>
      </c>
      <c r="D77" s="23">
        <v>9.75</v>
      </c>
      <c r="E77" s="22">
        <v>65</v>
      </c>
      <c r="F77" s="23">
        <v>3802.5</v>
      </c>
      <c r="G77" s="24">
        <v>1267.5</v>
      </c>
    </row>
    <row r="78" spans="1:7" outlineLevel="1" collapsed="1" x14ac:dyDescent="0.3">
      <c r="A78" s="11"/>
      <c r="B78" s="8" t="s">
        <v>70</v>
      </c>
      <c r="C78" s="23"/>
      <c r="D78" s="23"/>
      <c r="E78" s="22"/>
      <c r="F78" s="23"/>
      <c r="G78" s="24">
        <f>SUBTOTAL(9,G75:G77)</f>
        <v>14493</v>
      </c>
    </row>
    <row r="79" spans="1:7" hidden="1" outlineLevel="2" x14ac:dyDescent="0.3">
      <c r="A79" s="11">
        <v>35462</v>
      </c>
      <c r="B79" s="22" t="s">
        <v>38</v>
      </c>
      <c r="C79" s="23">
        <v>21</v>
      </c>
      <c r="D79" s="23">
        <v>5.25</v>
      </c>
      <c r="E79" s="22">
        <v>40</v>
      </c>
      <c r="F79" s="23">
        <v>1260</v>
      </c>
      <c r="G79" s="24">
        <v>420</v>
      </c>
    </row>
    <row r="80" spans="1:7" hidden="1" outlineLevel="2" x14ac:dyDescent="0.3">
      <c r="A80" s="11">
        <v>35462</v>
      </c>
      <c r="B80" s="22" t="s">
        <v>38</v>
      </c>
      <c r="C80" s="23">
        <v>46</v>
      </c>
      <c r="D80" s="23">
        <v>11.5</v>
      </c>
      <c r="E80" s="22">
        <v>149</v>
      </c>
      <c r="F80" s="23">
        <v>10281</v>
      </c>
      <c r="G80" s="24">
        <v>3427</v>
      </c>
    </row>
    <row r="81" spans="1:7" hidden="1" outlineLevel="2" x14ac:dyDescent="0.3">
      <c r="A81" s="11">
        <v>35462</v>
      </c>
      <c r="B81" s="22" t="s">
        <v>38</v>
      </c>
      <c r="C81" s="23">
        <v>88</v>
      </c>
      <c r="D81" s="23">
        <v>22</v>
      </c>
      <c r="E81" s="22">
        <v>233</v>
      </c>
      <c r="F81" s="23">
        <v>30756</v>
      </c>
      <c r="G81" s="24">
        <v>10252</v>
      </c>
    </row>
    <row r="82" spans="1:7" hidden="1" outlineLevel="2" x14ac:dyDescent="0.3">
      <c r="A82" s="11">
        <v>35977</v>
      </c>
      <c r="B82" s="22" t="s">
        <v>38</v>
      </c>
      <c r="C82" s="23">
        <v>53</v>
      </c>
      <c r="D82" s="23">
        <v>13.25</v>
      </c>
      <c r="E82" s="22">
        <v>43</v>
      </c>
      <c r="F82" s="23">
        <v>3418.5</v>
      </c>
      <c r="G82" s="24">
        <v>1139.5</v>
      </c>
    </row>
    <row r="83" spans="1:7" hidden="1" outlineLevel="2" x14ac:dyDescent="0.3">
      <c r="A83" s="11">
        <v>36100</v>
      </c>
      <c r="B83" s="22" t="s">
        <v>38</v>
      </c>
      <c r="C83" s="23">
        <v>34</v>
      </c>
      <c r="D83" s="23">
        <v>8.5</v>
      </c>
      <c r="E83" s="22">
        <v>24</v>
      </c>
      <c r="F83" s="23">
        <v>1224</v>
      </c>
      <c r="G83" s="24">
        <v>408</v>
      </c>
    </row>
    <row r="84" spans="1:7" hidden="1" outlineLevel="2" x14ac:dyDescent="0.3">
      <c r="A84" s="11">
        <v>36100</v>
      </c>
      <c r="B84" s="22" t="s">
        <v>38</v>
      </c>
      <c r="C84" s="23">
        <v>71</v>
      </c>
      <c r="D84" s="23">
        <v>17.75</v>
      </c>
      <c r="E84" s="22">
        <v>32</v>
      </c>
      <c r="F84" s="23">
        <v>3408</v>
      </c>
      <c r="G84" s="24">
        <v>1136</v>
      </c>
    </row>
    <row r="85" spans="1:7" outlineLevel="1" collapsed="1" x14ac:dyDescent="0.3">
      <c r="A85" s="11"/>
      <c r="B85" s="8" t="s">
        <v>77</v>
      </c>
      <c r="C85" s="23"/>
      <c r="D85" s="23"/>
      <c r="E85" s="22"/>
      <c r="F85" s="23"/>
      <c r="G85" s="24">
        <f>SUBTOTAL(9,G79:G84)</f>
        <v>16782.5</v>
      </c>
    </row>
    <row r="86" spans="1:7" hidden="1" outlineLevel="2" x14ac:dyDescent="0.3">
      <c r="A86" s="11">
        <v>35551</v>
      </c>
      <c r="B86" s="22" t="s">
        <v>39</v>
      </c>
      <c r="C86" s="23">
        <v>33</v>
      </c>
      <c r="D86" s="23">
        <v>8.25</v>
      </c>
      <c r="E86" s="22">
        <v>36</v>
      </c>
      <c r="F86" s="23">
        <v>1782</v>
      </c>
      <c r="G86" s="24">
        <v>594</v>
      </c>
    </row>
    <row r="87" spans="1:7" hidden="1" outlineLevel="2" x14ac:dyDescent="0.3">
      <c r="A87" s="11">
        <v>35551</v>
      </c>
      <c r="B87" s="22" t="s">
        <v>39</v>
      </c>
      <c r="C87" s="23">
        <v>33</v>
      </c>
      <c r="D87" s="23">
        <v>8.25</v>
      </c>
      <c r="E87" s="22">
        <v>179</v>
      </c>
      <c r="F87" s="23">
        <v>8860.5</v>
      </c>
      <c r="G87" s="24">
        <v>2953.5</v>
      </c>
    </row>
    <row r="88" spans="1:7" hidden="1" outlineLevel="2" x14ac:dyDescent="0.3">
      <c r="A88" s="11">
        <v>35551</v>
      </c>
      <c r="B88" s="22" t="s">
        <v>39</v>
      </c>
      <c r="C88" s="23">
        <v>39</v>
      </c>
      <c r="D88" s="23">
        <v>9.75</v>
      </c>
      <c r="E88" s="22">
        <v>235</v>
      </c>
      <c r="F88" s="23">
        <v>13747.5</v>
      </c>
      <c r="G88" s="24">
        <v>4582.5</v>
      </c>
    </row>
    <row r="89" spans="1:7" hidden="1" outlineLevel="2" x14ac:dyDescent="0.3">
      <c r="A89" s="11">
        <v>35977</v>
      </c>
      <c r="B89" s="22" t="s">
        <v>39</v>
      </c>
      <c r="C89" s="23">
        <v>64</v>
      </c>
      <c r="D89" s="23">
        <v>16</v>
      </c>
      <c r="E89" s="22">
        <v>288</v>
      </c>
      <c r="F89" s="23">
        <v>27648</v>
      </c>
      <c r="G89" s="24">
        <v>9216</v>
      </c>
    </row>
    <row r="90" spans="1:7" hidden="1" outlineLevel="2" x14ac:dyDescent="0.3">
      <c r="A90" s="11">
        <v>35977</v>
      </c>
      <c r="B90" s="22" t="s">
        <v>39</v>
      </c>
      <c r="C90" s="23">
        <v>39</v>
      </c>
      <c r="D90" s="23">
        <v>9.75</v>
      </c>
      <c r="E90" s="22">
        <v>290</v>
      </c>
      <c r="F90" s="23">
        <v>16965</v>
      </c>
      <c r="G90" s="24">
        <v>5655</v>
      </c>
    </row>
    <row r="91" spans="1:7" outlineLevel="1" collapsed="1" x14ac:dyDescent="0.3">
      <c r="A91" s="11"/>
      <c r="B91" s="8" t="s">
        <v>78</v>
      </c>
      <c r="C91" s="23"/>
      <c r="D91" s="23"/>
      <c r="E91" s="22"/>
      <c r="F91" s="23"/>
      <c r="G91" s="24">
        <f>SUBTOTAL(9,G86:G90)</f>
        <v>23001</v>
      </c>
    </row>
    <row r="92" spans="1:7" hidden="1" outlineLevel="2" x14ac:dyDescent="0.3">
      <c r="A92" s="11">
        <v>35311</v>
      </c>
      <c r="B92" s="22" t="s">
        <v>40</v>
      </c>
      <c r="C92" s="23">
        <v>58</v>
      </c>
      <c r="D92" s="23">
        <v>14.5</v>
      </c>
      <c r="E92" s="22">
        <v>77</v>
      </c>
      <c r="F92" s="23">
        <v>6699</v>
      </c>
      <c r="G92" s="24">
        <v>2233</v>
      </c>
    </row>
    <row r="93" spans="1:7" hidden="1" outlineLevel="2" x14ac:dyDescent="0.3">
      <c r="A93" s="11">
        <v>35462</v>
      </c>
      <c r="B93" s="22" t="s">
        <v>40</v>
      </c>
      <c r="C93" s="23">
        <v>72</v>
      </c>
      <c r="D93" s="23">
        <v>18</v>
      </c>
      <c r="E93" s="22">
        <v>175</v>
      </c>
      <c r="F93" s="23">
        <v>18900</v>
      </c>
      <c r="G93" s="24">
        <v>6300</v>
      </c>
    </row>
    <row r="94" spans="1:7" hidden="1" outlineLevel="2" x14ac:dyDescent="0.3">
      <c r="A94" s="11">
        <v>35551</v>
      </c>
      <c r="B94" s="22" t="s">
        <v>40</v>
      </c>
      <c r="C94" s="23">
        <v>33</v>
      </c>
      <c r="D94" s="23">
        <v>8.25</v>
      </c>
      <c r="E94" s="22">
        <v>195</v>
      </c>
      <c r="F94" s="23">
        <v>9652.5</v>
      </c>
      <c r="G94" s="24">
        <v>3217.5</v>
      </c>
    </row>
    <row r="95" spans="1:7" hidden="1" outlineLevel="2" x14ac:dyDescent="0.3">
      <c r="A95" s="11">
        <v>36100</v>
      </c>
      <c r="B95" s="22" t="s">
        <v>40</v>
      </c>
      <c r="C95" s="23">
        <v>62</v>
      </c>
      <c r="D95" s="23">
        <v>15.5</v>
      </c>
      <c r="E95" s="22">
        <v>32</v>
      </c>
      <c r="F95" s="23">
        <v>2976</v>
      </c>
      <c r="G95" s="24">
        <v>992</v>
      </c>
    </row>
    <row r="96" spans="1:7" outlineLevel="1" collapsed="1" x14ac:dyDescent="0.3">
      <c r="A96" s="11"/>
      <c r="B96" s="8" t="s">
        <v>75</v>
      </c>
      <c r="C96" s="23"/>
      <c r="D96" s="23"/>
      <c r="E96" s="22"/>
      <c r="F96" s="23"/>
      <c r="G96" s="24">
        <f>SUBTOTAL(9,G92:G95)</f>
        <v>12742.5</v>
      </c>
    </row>
    <row r="97" spans="1:7" hidden="1" outlineLevel="2" x14ac:dyDescent="0.3">
      <c r="A97" s="11">
        <v>35125</v>
      </c>
      <c r="B97" s="22" t="s">
        <v>41</v>
      </c>
      <c r="C97" s="23">
        <v>60</v>
      </c>
      <c r="D97" s="23">
        <v>15</v>
      </c>
      <c r="E97" s="22">
        <v>77</v>
      </c>
      <c r="F97" s="23">
        <v>6930</v>
      </c>
      <c r="G97" s="24">
        <v>2310</v>
      </c>
    </row>
    <row r="98" spans="1:7" hidden="1" outlineLevel="2" x14ac:dyDescent="0.3">
      <c r="A98" s="11">
        <v>35125</v>
      </c>
      <c r="B98" s="22" t="s">
        <v>41</v>
      </c>
      <c r="C98" s="23">
        <v>90</v>
      </c>
      <c r="D98" s="23">
        <v>22.5</v>
      </c>
      <c r="E98" s="22">
        <v>87</v>
      </c>
      <c r="F98" s="23">
        <v>11745</v>
      </c>
      <c r="G98" s="24">
        <v>3915</v>
      </c>
    </row>
    <row r="99" spans="1:7" hidden="1" outlineLevel="2" x14ac:dyDescent="0.3">
      <c r="A99" s="11">
        <v>35125</v>
      </c>
      <c r="B99" s="22" t="s">
        <v>41</v>
      </c>
      <c r="C99" s="23">
        <v>56</v>
      </c>
      <c r="D99" s="23">
        <v>14</v>
      </c>
      <c r="E99" s="22">
        <v>127</v>
      </c>
      <c r="F99" s="23">
        <v>10668</v>
      </c>
      <c r="G99" s="24">
        <v>3556</v>
      </c>
    </row>
    <row r="100" spans="1:7" hidden="1" outlineLevel="2" x14ac:dyDescent="0.3">
      <c r="A100" s="11">
        <v>35311</v>
      </c>
      <c r="B100" s="22" t="s">
        <v>41</v>
      </c>
      <c r="C100" s="23">
        <v>75</v>
      </c>
      <c r="D100" s="23">
        <v>18.75</v>
      </c>
      <c r="E100" s="22">
        <v>49</v>
      </c>
      <c r="F100" s="23">
        <v>5512.5</v>
      </c>
      <c r="G100" s="24">
        <v>1837.5</v>
      </c>
    </row>
    <row r="101" spans="1:7" hidden="1" outlineLevel="2" x14ac:dyDescent="0.3">
      <c r="A101" s="11">
        <v>35311</v>
      </c>
      <c r="B101" s="22" t="s">
        <v>41</v>
      </c>
      <c r="C101" s="23">
        <v>67</v>
      </c>
      <c r="D101" s="23">
        <v>16.75</v>
      </c>
      <c r="E101" s="22">
        <v>66</v>
      </c>
      <c r="F101" s="23">
        <v>6633</v>
      </c>
      <c r="G101" s="24">
        <v>2211</v>
      </c>
    </row>
    <row r="102" spans="1:7" hidden="1" outlineLevel="2" x14ac:dyDescent="0.3">
      <c r="A102" s="11">
        <v>35462</v>
      </c>
      <c r="B102" s="22" t="s">
        <v>41</v>
      </c>
      <c r="C102" s="23">
        <v>29</v>
      </c>
      <c r="D102" s="23">
        <v>7.25</v>
      </c>
      <c r="E102" s="22">
        <v>230</v>
      </c>
      <c r="F102" s="23">
        <v>10005</v>
      </c>
      <c r="G102" s="24">
        <v>3335</v>
      </c>
    </row>
    <row r="103" spans="1:7" hidden="1" outlineLevel="2" x14ac:dyDescent="0.3">
      <c r="A103" s="11">
        <v>35462</v>
      </c>
      <c r="B103" s="22" t="s">
        <v>41</v>
      </c>
      <c r="C103" s="23">
        <v>45</v>
      </c>
      <c r="D103" s="23">
        <v>11.25</v>
      </c>
      <c r="E103" s="22">
        <v>237</v>
      </c>
      <c r="F103" s="23">
        <v>15997.5</v>
      </c>
      <c r="G103" s="24">
        <v>5332.5</v>
      </c>
    </row>
    <row r="104" spans="1:7" hidden="1" outlineLevel="2" x14ac:dyDescent="0.3">
      <c r="A104" s="11">
        <v>35551</v>
      </c>
      <c r="B104" s="22" t="s">
        <v>41</v>
      </c>
      <c r="C104" s="23">
        <v>77</v>
      </c>
      <c r="D104" s="23">
        <v>19.25</v>
      </c>
      <c r="E104" s="22">
        <v>20</v>
      </c>
      <c r="F104" s="23">
        <v>2310</v>
      </c>
      <c r="G104" s="24">
        <v>770</v>
      </c>
    </row>
    <row r="105" spans="1:7" hidden="1" outlineLevel="2" x14ac:dyDescent="0.3">
      <c r="A105" s="11">
        <v>35977</v>
      </c>
      <c r="B105" s="22" t="s">
        <v>41</v>
      </c>
      <c r="C105" s="23">
        <v>44</v>
      </c>
      <c r="D105" s="23">
        <v>11</v>
      </c>
      <c r="E105" s="22">
        <v>72</v>
      </c>
      <c r="F105" s="23">
        <v>4752</v>
      </c>
      <c r="G105" s="24">
        <v>1584</v>
      </c>
    </row>
    <row r="106" spans="1:7" hidden="1" outlineLevel="2" x14ac:dyDescent="0.3">
      <c r="A106" s="11">
        <v>36100</v>
      </c>
      <c r="B106" s="22" t="s">
        <v>41</v>
      </c>
      <c r="C106" s="23">
        <v>92</v>
      </c>
      <c r="D106" s="23">
        <v>23</v>
      </c>
      <c r="E106" s="22">
        <v>253</v>
      </c>
      <c r="F106" s="23">
        <v>34914</v>
      </c>
      <c r="G106" s="24">
        <v>11638</v>
      </c>
    </row>
    <row r="107" spans="1:7" outlineLevel="1" collapsed="1" x14ac:dyDescent="0.3">
      <c r="A107" s="11"/>
      <c r="B107" s="8" t="s">
        <v>72</v>
      </c>
      <c r="C107" s="23"/>
      <c r="D107" s="23"/>
      <c r="E107" s="22"/>
      <c r="F107" s="23"/>
      <c r="G107" s="24">
        <f>SUBTOTAL(9,G97:G106)</f>
        <v>36489</v>
      </c>
    </row>
    <row r="108" spans="1:7" hidden="1" outlineLevel="2" x14ac:dyDescent="0.3">
      <c r="A108" s="11">
        <v>35125</v>
      </c>
      <c r="B108" s="22" t="s">
        <v>42</v>
      </c>
      <c r="C108" s="23">
        <v>64</v>
      </c>
      <c r="D108" s="23">
        <v>16</v>
      </c>
      <c r="E108" s="22">
        <v>130</v>
      </c>
      <c r="F108" s="23">
        <v>12480</v>
      </c>
      <c r="G108" s="24">
        <v>4160</v>
      </c>
    </row>
    <row r="109" spans="1:7" hidden="1" outlineLevel="2" x14ac:dyDescent="0.3">
      <c r="A109" s="11">
        <v>35311</v>
      </c>
      <c r="B109" s="22" t="s">
        <v>42</v>
      </c>
      <c r="C109" s="23">
        <v>67</v>
      </c>
      <c r="D109" s="23">
        <v>16.75</v>
      </c>
      <c r="E109" s="22">
        <v>153</v>
      </c>
      <c r="F109" s="23">
        <v>15376.5</v>
      </c>
      <c r="G109" s="24">
        <v>5125.5</v>
      </c>
    </row>
    <row r="110" spans="1:7" hidden="1" outlineLevel="2" x14ac:dyDescent="0.3">
      <c r="A110" s="11">
        <v>35462</v>
      </c>
      <c r="B110" s="22" t="s">
        <v>42</v>
      </c>
      <c r="C110" s="23">
        <v>21</v>
      </c>
      <c r="D110" s="23">
        <v>5.25</v>
      </c>
      <c r="E110" s="22">
        <v>165</v>
      </c>
      <c r="F110" s="23">
        <v>5197.5</v>
      </c>
      <c r="G110" s="24">
        <v>1732.5</v>
      </c>
    </row>
    <row r="111" spans="1:7" hidden="1" outlineLevel="2" x14ac:dyDescent="0.3">
      <c r="A111" s="11">
        <v>35551</v>
      </c>
      <c r="B111" s="22" t="s">
        <v>42</v>
      </c>
      <c r="C111" s="23">
        <v>56</v>
      </c>
      <c r="D111" s="23">
        <v>14</v>
      </c>
      <c r="E111" s="22">
        <v>188</v>
      </c>
      <c r="F111" s="23">
        <v>15792</v>
      </c>
      <c r="G111" s="24">
        <v>5264</v>
      </c>
    </row>
    <row r="112" spans="1:7" hidden="1" outlineLevel="2" x14ac:dyDescent="0.3">
      <c r="A112" s="11">
        <v>35551</v>
      </c>
      <c r="B112" s="22" t="s">
        <v>42</v>
      </c>
      <c r="C112" s="23">
        <v>82</v>
      </c>
      <c r="D112" s="23">
        <v>20.5</v>
      </c>
      <c r="E112" s="22">
        <v>234</v>
      </c>
      <c r="F112" s="23">
        <v>28782</v>
      </c>
      <c r="G112" s="24">
        <v>9594</v>
      </c>
    </row>
    <row r="113" spans="1:7" hidden="1" outlineLevel="2" x14ac:dyDescent="0.3">
      <c r="A113" s="11">
        <v>35977</v>
      </c>
      <c r="B113" s="22" t="s">
        <v>42</v>
      </c>
      <c r="C113" s="23">
        <v>82</v>
      </c>
      <c r="D113" s="23">
        <v>20.5</v>
      </c>
      <c r="E113" s="22">
        <v>40</v>
      </c>
      <c r="F113" s="23">
        <v>4920</v>
      </c>
      <c r="G113" s="24">
        <v>1640</v>
      </c>
    </row>
    <row r="114" spans="1:7" hidden="1" outlineLevel="2" x14ac:dyDescent="0.3">
      <c r="A114" s="11">
        <v>35977</v>
      </c>
      <c r="B114" s="22" t="s">
        <v>42</v>
      </c>
      <c r="C114" s="23">
        <v>57</v>
      </c>
      <c r="D114" s="23">
        <v>14.25</v>
      </c>
      <c r="E114" s="22">
        <v>58</v>
      </c>
      <c r="F114" s="23">
        <v>4959</v>
      </c>
      <c r="G114" s="24">
        <v>1653</v>
      </c>
    </row>
    <row r="115" spans="1:7" hidden="1" outlineLevel="2" x14ac:dyDescent="0.3">
      <c r="A115" s="11">
        <v>35977</v>
      </c>
      <c r="B115" s="22" t="s">
        <v>42</v>
      </c>
      <c r="C115" s="23">
        <v>36</v>
      </c>
      <c r="D115" s="23">
        <v>9</v>
      </c>
      <c r="E115" s="22">
        <v>89</v>
      </c>
      <c r="F115" s="23">
        <v>4806</v>
      </c>
      <c r="G115" s="24">
        <v>1602</v>
      </c>
    </row>
    <row r="116" spans="1:7" hidden="1" outlineLevel="2" x14ac:dyDescent="0.3">
      <c r="A116" s="11">
        <v>35977</v>
      </c>
      <c r="B116" s="22" t="s">
        <v>42</v>
      </c>
      <c r="C116" s="23">
        <v>94</v>
      </c>
      <c r="D116" s="23">
        <v>23.5</v>
      </c>
      <c r="E116" s="22">
        <v>268</v>
      </c>
      <c r="F116" s="23">
        <v>37788</v>
      </c>
      <c r="G116" s="24">
        <v>12596</v>
      </c>
    </row>
    <row r="117" spans="1:7" hidden="1" outlineLevel="2" x14ac:dyDescent="0.3">
      <c r="A117" s="11">
        <v>36100</v>
      </c>
      <c r="B117" s="22" t="s">
        <v>42</v>
      </c>
      <c r="C117" s="23">
        <v>73</v>
      </c>
      <c r="D117" s="23">
        <v>18.25</v>
      </c>
      <c r="E117" s="22">
        <v>231</v>
      </c>
      <c r="F117" s="23">
        <v>25294.5</v>
      </c>
      <c r="G117" s="24">
        <v>8431.5</v>
      </c>
    </row>
    <row r="118" spans="1:7" outlineLevel="1" collapsed="1" x14ac:dyDescent="0.3">
      <c r="A118" s="11"/>
      <c r="B118" s="8" t="s">
        <v>74</v>
      </c>
      <c r="C118" s="23"/>
      <c r="D118" s="23"/>
      <c r="E118" s="22"/>
      <c r="F118" s="23"/>
      <c r="G118" s="24">
        <f>SUBTOTAL(9,G108:G117)</f>
        <v>51798.5</v>
      </c>
    </row>
    <row r="119" spans="1:7" hidden="1" outlineLevel="2" x14ac:dyDescent="0.3">
      <c r="A119" s="11">
        <v>35311</v>
      </c>
      <c r="B119" s="22" t="s">
        <v>43</v>
      </c>
      <c r="C119" s="23">
        <v>36</v>
      </c>
      <c r="D119" s="23">
        <v>9</v>
      </c>
      <c r="E119" s="22">
        <v>148</v>
      </c>
      <c r="F119" s="23">
        <v>7992</v>
      </c>
      <c r="G119" s="24">
        <v>2664</v>
      </c>
    </row>
    <row r="120" spans="1:7" hidden="1" outlineLevel="2" x14ac:dyDescent="0.3">
      <c r="A120" s="11">
        <v>35311</v>
      </c>
      <c r="B120" s="22" t="s">
        <v>43</v>
      </c>
      <c r="C120" s="23">
        <v>56</v>
      </c>
      <c r="D120" s="23">
        <v>14</v>
      </c>
      <c r="E120" s="22">
        <v>194</v>
      </c>
      <c r="F120" s="23">
        <v>16296</v>
      </c>
      <c r="G120" s="24">
        <v>5432</v>
      </c>
    </row>
    <row r="121" spans="1:7" hidden="1" outlineLevel="2" x14ac:dyDescent="0.3">
      <c r="A121" s="11">
        <v>35462</v>
      </c>
      <c r="B121" s="22" t="s">
        <v>43</v>
      </c>
      <c r="C121" s="23">
        <v>56</v>
      </c>
      <c r="D121" s="23">
        <v>14</v>
      </c>
      <c r="E121" s="22">
        <v>242</v>
      </c>
      <c r="F121" s="23">
        <v>20328</v>
      </c>
      <c r="G121" s="24">
        <v>6776</v>
      </c>
    </row>
    <row r="122" spans="1:7" hidden="1" outlineLevel="2" x14ac:dyDescent="0.3">
      <c r="A122" s="11">
        <v>35462</v>
      </c>
      <c r="B122" s="22" t="s">
        <v>43</v>
      </c>
      <c r="C122" s="23">
        <v>35</v>
      </c>
      <c r="D122" s="23">
        <v>8.75</v>
      </c>
      <c r="E122" s="22">
        <v>259</v>
      </c>
      <c r="F122" s="23">
        <v>13597.5</v>
      </c>
      <c r="G122" s="24">
        <v>4532.5</v>
      </c>
    </row>
    <row r="123" spans="1:7" hidden="1" outlineLevel="2" x14ac:dyDescent="0.3">
      <c r="A123" s="11">
        <v>35551</v>
      </c>
      <c r="B123" s="22" t="s">
        <v>43</v>
      </c>
      <c r="C123" s="23">
        <v>89</v>
      </c>
      <c r="D123" s="23">
        <v>22.25</v>
      </c>
      <c r="E123" s="22">
        <v>215</v>
      </c>
      <c r="F123" s="23">
        <v>28702.5</v>
      </c>
      <c r="G123" s="24">
        <v>9567.5</v>
      </c>
    </row>
    <row r="124" spans="1:7" hidden="1" outlineLevel="2" x14ac:dyDescent="0.3">
      <c r="A124" s="11">
        <v>35977</v>
      </c>
      <c r="B124" s="22" t="s">
        <v>43</v>
      </c>
      <c r="C124" s="23">
        <v>35</v>
      </c>
      <c r="D124" s="23">
        <v>8.75</v>
      </c>
      <c r="E124" s="22">
        <v>128</v>
      </c>
      <c r="F124" s="23">
        <v>6720</v>
      </c>
      <c r="G124" s="24">
        <v>2240</v>
      </c>
    </row>
    <row r="125" spans="1:7" outlineLevel="1" collapsed="1" x14ac:dyDescent="0.3">
      <c r="A125" s="11"/>
      <c r="B125" s="8" t="s">
        <v>76</v>
      </c>
      <c r="C125" s="23"/>
      <c r="D125" s="23"/>
      <c r="E125" s="22"/>
      <c r="F125" s="23"/>
      <c r="G125" s="24">
        <f>SUBTOTAL(9,G119:G124)</f>
        <v>31212</v>
      </c>
    </row>
    <row r="126" spans="1:7" hidden="1" outlineLevel="2" x14ac:dyDescent="0.3">
      <c r="A126" s="11">
        <v>35125</v>
      </c>
      <c r="B126" s="22" t="s">
        <v>44</v>
      </c>
      <c r="C126" s="23">
        <v>56</v>
      </c>
      <c r="D126" s="23">
        <v>14</v>
      </c>
      <c r="E126" s="22">
        <v>58</v>
      </c>
      <c r="F126" s="23">
        <v>4872</v>
      </c>
      <c r="G126" s="24">
        <v>1624</v>
      </c>
    </row>
    <row r="127" spans="1:7" hidden="1" outlineLevel="2" x14ac:dyDescent="0.3">
      <c r="A127" s="11">
        <v>35311</v>
      </c>
      <c r="B127" s="22" t="s">
        <v>44</v>
      </c>
      <c r="C127" s="23">
        <v>92</v>
      </c>
      <c r="D127" s="23">
        <v>23</v>
      </c>
      <c r="E127" s="22">
        <v>44</v>
      </c>
      <c r="F127" s="23">
        <v>6072</v>
      </c>
      <c r="G127" s="24">
        <v>2024</v>
      </c>
    </row>
    <row r="128" spans="1:7" hidden="1" outlineLevel="2" x14ac:dyDescent="0.3">
      <c r="A128" s="11">
        <v>35311</v>
      </c>
      <c r="B128" s="22" t="s">
        <v>44</v>
      </c>
      <c r="C128" s="23">
        <v>74</v>
      </c>
      <c r="D128" s="23">
        <v>18.5</v>
      </c>
      <c r="E128" s="22">
        <v>68</v>
      </c>
      <c r="F128" s="23">
        <v>7548</v>
      </c>
      <c r="G128" s="24">
        <v>2516</v>
      </c>
    </row>
    <row r="129" spans="1:7" hidden="1" outlineLevel="2" x14ac:dyDescent="0.3">
      <c r="A129" s="11">
        <v>35311</v>
      </c>
      <c r="B129" s="22" t="s">
        <v>44</v>
      </c>
      <c r="C129" s="23">
        <v>54</v>
      </c>
      <c r="D129" s="23">
        <v>13.5</v>
      </c>
      <c r="E129" s="22">
        <v>269</v>
      </c>
      <c r="F129" s="23">
        <v>21789</v>
      </c>
      <c r="G129" s="24">
        <v>7263</v>
      </c>
    </row>
    <row r="130" spans="1:7" hidden="1" outlineLevel="2" x14ac:dyDescent="0.3">
      <c r="A130" s="11">
        <v>35462</v>
      </c>
      <c r="B130" s="22" t="s">
        <v>44</v>
      </c>
      <c r="C130" s="23">
        <v>46</v>
      </c>
      <c r="D130" s="23">
        <v>11.5</v>
      </c>
      <c r="E130" s="22">
        <v>59</v>
      </c>
      <c r="F130" s="23">
        <v>4071</v>
      </c>
      <c r="G130" s="24">
        <v>1357</v>
      </c>
    </row>
    <row r="131" spans="1:7" hidden="1" outlineLevel="2" x14ac:dyDescent="0.3">
      <c r="A131" s="11">
        <v>36100</v>
      </c>
      <c r="B131" s="22" t="s">
        <v>44</v>
      </c>
      <c r="C131" s="23">
        <v>28</v>
      </c>
      <c r="D131" s="23">
        <v>7</v>
      </c>
      <c r="E131" s="22">
        <v>18</v>
      </c>
      <c r="F131" s="23">
        <v>756</v>
      </c>
      <c r="G131" s="24">
        <v>252</v>
      </c>
    </row>
    <row r="132" spans="1:7" hidden="1" outlineLevel="2" x14ac:dyDescent="0.3">
      <c r="A132" s="11">
        <v>36100</v>
      </c>
      <c r="B132" s="22" t="s">
        <v>44</v>
      </c>
      <c r="C132" s="23">
        <v>46</v>
      </c>
      <c r="D132" s="23">
        <v>11.5</v>
      </c>
      <c r="E132" s="22">
        <v>140</v>
      </c>
      <c r="F132" s="23">
        <v>9660</v>
      </c>
      <c r="G132" s="24">
        <v>3220</v>
      </c>
    </row>
    <row r="133" spans="1:7" outlineLevel="1" collapsed="1" x14ac:dyDescent="0.3">
      <c r="A133" s="11"/>
      <c r="B133" s="8" t="s">
        <v>71</v>
      </c>
      <c r="C133" s="23"/>
      <c r="D133" s="23"/>
      <c r="E133" s="22"/>
      <c r="F133" s="23"/>
      <c r="G133" s="24">
        <f>SUBTOTAL(9,G126:G132)</f>
        <v>18256</v>
      </c>
    </row>
    <row r="134" spans="1:7" hidden="1" outlineLevel="2" x14ac:dyDescent="0.3">
      <c r="A134" s="11">
        <v>35125</v>
      </c>
      <c r="B134" s="22" t="s">
        <v>45</v>
      </c>
      <c r="C134" s="23">
        <v>20</v>
      </c>
      <c r="D134" s="23">
        <v>5</v>
      </c>
      <c r="E134" s="22">
        <v>17</v>
      </c>
      <c r="F134" s="23">
        <v>510</v>
      </c>
      <c r="G134" s="24">
        <v>170</v>
      </c>
    </row>
    <row r="135" spans="1:7" hidden="1" outlineLevel="2" x14ac:dyDescent="0.3">
      <c r="A135" s="11">
        <v>35551</v>
      </c>
      <c r="B135" s="22" t="s">
        <v>45</v>
      </c>
      <c r="C135" s="23">
        <v>97</v>
      </c>
      <c r="D135" s="23">
        <v>24.25</v>
      </c>
      <c r="E135" s="22">
        <v>50</v>
      </c>
      <c r="F135" s="23">
        <v>7275</v>
      </c>
      <c r="G135" s="24">
        <v>2425</v>
      </c>
    </row>
    <row r="136" spans="1:7" hidden="1" outlineLevel="2" x14ac:dyDescent="0.3">
      <c r="A136" s="11">
        <v>35977</v>
      </c>
      <c r="B136" s="22" t="s">
        <v>45</v>
      </c>
      <c r="C136" s="23">
        <v>79</v>
      </c>
      <c r="D136" s="23">
        <v>19.75</v>
      </c>
      <c r="E136" s="22">
        <v>162</v>
      </c>
      <c r="F136" s="23">
        <v>19197</v>
      </c>
      <c r="G136" s="24">
        <v>6399</v>
      </c>
    </row>
    <row r="137" spans="1:7" hidden="1" outlineLevel="2" x14ac:dyDescent="0.3">
      <c r="A137" s="11">
        <v>36100</v>
      </c>
      <c r="B137" s="22" t="s">
        <v>45</v>
      </c>
      <c r="C137" s="23">
        <v>46</v>
      </c>
      <c r="D137" s="23">
        <v>11.5</v>
      </c>
      <c r="E137" s="22">
        <v>17</v>
      </c>
      <c r="F137" s="23">
        <v>1173</v>
      </c>
      <c r="G137" s="24">
        <v>391</v>
      </c>
    </row>
    <row r="138" spans="1:7" outlineLevel="1" collapsed="1" x14ac:dyDescent="0.3">
      <c r="A138" s="11"/>
      <c r="B138" s="8" t="s">
        <v>69</v>
      </c>
      <c r="C138" s="23"/>
      <c r="D138" s="23"/>
      <c r="E138" s="22"/>
      <c r="F138" s="23"/>
      <c r="G138" s="24">
        <f>SUBTOTAL(9,G134:G137)</f>
        <v>9385</v>
      </c>
    </row>
    <row r="139" spans="1:7" hidden="1" outlineLevel="2" x14ac:dyDescent="0.3">
      <c r="A139" s="11">
        <v>35125</v>
      </c>
      <c r="B139" s="22" t="s">
        <v>46</v>
      </c>
      <c r="C139" s="23">
        <v>59</v>
      </c>
      <c r="D139" s="23">
        <v>14.75</v>
      </c>
      <c r="E139" s="22">
        <v>118</v>
      </c>
      <c r="F139" s="23">
        <v>10443</v>
      </c>
      <c r="G139" s="24">
        <v>3481</v>
      </c>
    </row>
    <row r="140" spans="1:7" hidden="1" outlineLevel="2" x14ac:dyDescent="0.3">
      <c r="A140" s="11">
        <v>35125</v>
      </c>
      <c r="B140" s="22" t="s">
        <v>46</v>
      </c>
      <c r="C140" s="23">
        <v>25</v>
      </c>
      <c r="D140" s="23">
        <v>6.25</v>
      </c>
      <c r="E140" s="22">
        <v>210</v>
      </c>
      <c r="F140" s="23">
        <v>7875</v>
      </c>
      <c r="G140" s="24">
        <v>2625</v>
      </c>
    </row>
    <row r="141" spans="1:7" hidden="1" outlineLevel="2" x14ac:dyDescent="0.3">
      <c r="A141" s="11">
        <v>35311</v>
      </c>
      <c r="B141" s="22" t="s">
        <v>46</v>
      </c>
      <c r="C141" s="23">
        <v>23</v>
      </c>
      <c r="D141" s="23">
        <v>5.75</v>
      </c>
      <c r="E141" s="22">
        <v>155</v>
      </c>
      <c r="F141" s="23">
        <v>5347.5</v>
      </c>
      <c r="G141" s="24">
        <v>1782.5</v>
      </c>
    </row>
    <row r="142" spans="1:7" hidden="1" outlineLevel="2" x14ac:dyDescent="0.3">
      <c r="A142" s="11">
        <v>36100</v>
      </c>
      <c r="B142" s="22" t="s">
        <v>46</v>
      </c>
      <c r="C142" s="23">
        <v>70</v>
      </c>
      <c r="D142" s="23">
        <v>17.5</v>
      </c>
      <c r="E142" s="22">
        <v>67</v>
      </c>
      <c r="F142" s="23">
        <v>7035</v>
      </c>
      <c r="G142" s="24">
        <v>2345</v>
      </c>
    </row>
    <row r="143" spans="1:7" hidden="1" outlineLevel="2" x14ac:dyDescent="0.3">
      <c r="A143" s="11">
        <v>36100</v>
      </c>
      <c r="B143" s="22" t="s">
        <v>46</v>
      </c>
      <c r="C143" s="23">
        <v>92</v>
      </c>
      <c r="D143" s="23">
        <v>23</v>
      </c>
      <c r="E143" s="22">
        <v>151</v>
      </c>
      <c r="F143" s="23">
        <v>20838</v>
      </c>
      <c r="G143" s="24">
        <v>6946</v>
      </c>
    </row>
    <row r="144" spans="1:7" outlineLevel="1" collapsed="1" x14ac:dyDescent="0.3">
      <c r="A144" s="11"/>
      <c r="B144" s="8" t="s">
        <v>73</v>
      </c>
      <c r="C144" s="23"/>
      <c r="D144" s="23"/>
      <c r="E144" s="22"/>
      <c r="F144" s="23"/>
      <c r="G144" s="24">
        <f>SUBTOTAL(9,G139:G143)</f>
        <v>17179.5</v>
      </c>
    </row>
    <row r="145" spans="1:7" x14ac:dyDescent="0.3">
      <c r="A145" s="11"/>
      <c r="B145" s="8" t="s">
        <v>68</v>
      </c>
      <c r="C145" s="23"/>
      <c r="D145" s="23"/>
      <c r="E145" s="22"/>
      <c r="F145" s="23"/>
      <c r="G145" s="24">
        <f>SUBTOTAL(9,G75:G143)</f>
        <v>231339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zoomScale="84" workbookViewId="0">
      <selection activeCell="J3" sqref="J3"/>
    </sheetView>
  </sheetViews>
  <sheetFormatPr defaultColWidth="9.109375" defaultRowHeight="14.4" x14ac:dyDescent="0.3"/>
  <cols>
    <col min="1" max="1" width="11.33203125" style="2" customWidth="1"/>
    <col min="2" max="2" width="17.44140625" style="2" customWidth="1"/>
    <col min="3" max="3" width="13.6640625" style="2" customWidth="1"/>
    <col min="4" max="4" width="26" style="2" customWidth="1"/>
    <col min="5" max="5" width="13.33203125" style="2" customWidth="1"/>
    <col min="6" max="6" width="15.109375" style="2" bestFit="1" customWidth="1"/>
    <col min="7" max="7" width="16.6640625" style="2" bestFit="1" customWidth="1"/>
    <col min="8" max="16384" width="9.109375" style="2"/>
  </cols>
  <sheetData>
    <row r="1" spans="1:7" s="3" customFormat="1" ht="40.5" customHeight="1" x14ac:dyDescent="0.3">
      <c r="A1" s="33" t="s">
        <v>79</v>
      </c>
      <c r="B1" s="34" t="s">
        <v>80</v>
      </c>
      <c r="C1" s="34" t="s">
        <v>81</v>
      </c>
      <c r="D1" s="34" t="s">
        <v>2</v>
      </c>
      <c r="E1" s="34" t="s">
        <v>53</v>
      </c>
      <c r="F1" s="34" t="s">
        <v>82</v>
      </c>
      <c r="G1" s="35" t="s">
        <v>83</v>
      </c>
    </row>
    <row r="2" spans="1:7" ht="21" customHeight="1" x14ac:dyDescent="0.3">
      <c r="A2" s="36">
        <v>45078</v>
      </c>
      <c r="B2" s="27" t="s">
        <v>84</v>
      </c>
      <c r="C2" s="27">
        <v>4</v>
      </c>
      <c r="D2" s="27" t="s">
        <v>85</v>
      </c>
      <c r="E2" s="27">
        <v>20</v>
      </c>
      <c r="F2" s="28">
        <v>230</v>
      </c>
      <c r="G2" s="29">
        <f>Таблица1[[#This Row],[Цена, руб.]]*Таблица1[[#This Row],[Количество]]</f>
        <v>4600</v>
      </c>
    </row>
    <row r="3" spans="1:7" ht="21" customHeight="1" x14ac:dyDescent="0.3">
      <c r="A3" s="36">
        <v>45109</v>
      </c>
      <c r="B3" s="27" t="s">
        <v>84</v>
      </c>
      <c r="C3" s="27">
        <v>4</v>
      </c>
      <c r="D3" s="27" t="s">
        <v>86</v>
      </c>
      <c r="E3" s="27">
        <v>9</v>
      </c>
      <c r="F3" s="28">
        <v>357.7</v>
      </c>
      <c r="G3" s="29">
        <f>Таблица1[[#This Row],[Цена, руб.]]*Таблица1[[#This Row],[Количество]]</f>
        <v>3219.2999999999997</v>
      </c>
    </row>
    <row r="4" spans="1:7" ht="21" customHeight="1" x14ac:dyDescent="0.3">
      <c r="A4" s="36">
        <v>45078</v>
      </c>
      <c r="B4" s="27" t="s">
        <v>84</v>
      </c>
      <c r="C4" s="27">
        <v>4</v>
      </c>
      <c r="D4" s="27" t="s">
        <v>85</v>
      </c>
      <c r="E4" s="27">
        <v>15</v>
      </c>
      <c r="F4" s="28">
        <v>130</v>
      </c>
      <c r="G4" s="29">
        <f>Таблица1[[#This Row],[Цена, руб.]]*Таблица1[[#This Row],[Количество]]</f>
        <v>1950</v>
      </c>
    </row>
    <row r="5" spans="1:7" ht="21" customHeight="1" x14ac:dyDescent="0.3">
      <c r="A5" s="36">
        <v>45111</v>
      </c>
      <c r="B5" s="27" t="s">
        <v>84</v>
      </c>
      <c r="C5" s="27">
        <v>4</v>
      </c>
      <c r="D5" s="27" t="s">
        <v>87</v>
      </c>
      <c r="E5" s="27">
        <v>5</v>
      </c>
      <c r="F5" s="28">
        <v>347</v>
      </c>
      <c r="G5" s="29">
        <f>Таблица1[[#This Row],[Цена, руб.]]*Таблица1[[#This Row],[Количество]]</f>
        <v>1735</v>
      </c>
    </row>
    <row r="6" spans="1:7" ht="21" customHeight="1" x14ac:dyDescent="0.3">
      <c r="A6" s="36">
        <v>45080</v>
      </c>
      <c r="B6" s="27" t="s">
        <v>84</v>
      </c>
      <c r="C6" s="27">
        <v>4</v>
      </c>
      <c r="D6" s="27" t="s">
        <v>88</v>
      </c>
      <c r="E6" s="27">
        <v>10</v>
      </c>
      <c r="F6" s="28">
        <v>220</v>
      </c>
      <c r="G6" s="29">
        <f>Таблица1[[#This Row],[Цена, руб.]]*Таблица1[[#This Row],[Количество]]</f>
        <v>2200</v>
      </c>
    </row>
    <row r="7" spans="1:7" ht="21" customHeight="1" x14ac:dyDescent="0.3">
      <c r="A7" s="36">
        <v>45109</v>
      </c>
      <c r="B7" s="27" t="s">
        <v>89</v>
      </c>
      <c r="C7" s="27">
        <v>5</v>
      </c>
      <c r="D7" s="27" t="s">
        <v>85</v>
      </c>
      <c r="E7" s="27">
        <v>45</v>
      </c>
      <c r="F7" s="28">
        <v>230</v>
      </c>
      <c r="G7" s="29">
        <f>Таблица1[[#This Row],[Цена, руб.]]*Таблица1[[#This Row],[Количество]]</f>
        <v>10350</v>
      </c>
    </row>
    <row r="8" spans="1:7" ht="21" customHeight="1" x14ac:dyDescent="0.3">
      <c r="A8" s="36">
        <v>45080</v>
      </c>
      <c r="B8" s="27" t="s">
        <v>90</v>
      </c>
      <c r="C8" s="27">
        <v>6</v>
      </c>
      <c r="D8" s="27" t="s">
        <v>86</v>
      </c>
      <c r="E8" s="27">
        <v>7</v>
      </c>
      <c r="F8" s="28">
        <v>357.7</v>
      </c>
      <c r="G8" s="29">
        <f>Таблица1[[#This Row],[Цена, руб.]]*Таблица1[[#This Row],[Количество]]</f>
        <v>2503.9</v>
      </c>
    </row>
    <row r="9" spans="1:7" ht="21" customHeight="1" x14ac:dyDescent="0.3">
      <c r="A9" s="36">
        <v>45111</v>
      </c>
      <c r="B9" s="27" t="s">
        <v>84</v>
      </c>
      <c r="C9" s="27">
        <v>4</v>
      </c>
      <c r="D9" s="27" t="s">
        <v>85</v>
      </c>
      <c r="E9" s="27">
        <v>42</v>
      </c>
      <c r="F9" s="28">
        <v>230</v>
      </c>
      <c r="G9" s="29">
        <f>Таблица1[[#This Row],[Цена, руб.]]*Таблица1[[#This Row],[Количество]]</f>
        <v>9660</v>
      </c>
    </row>
    <row r="10" spans="1:7" ht="21" customHeight="1" x14ac:dyDescent="0.3">
      <c r="A10" s="36">
        <v>45078</v>
      </c>
      <c r="B10" s="27" t="s">
        <v>89</v>
      </c>
      <c r="C10" s="27">
        <v>5</v>
      </c>
      <c r="D10" s="27" t="s">
        <v>87</v>
      </c>
      <c r="E10" s="27">
        <v>24</v>
      </c>
      <c r="F10" s="28">
        <v>357.7</v>
      </c>
      <c r="G10" s="29">
        <f>Таблица1[[#This Row],[Цена, руб.]]*Таблица1[[#This Row],[Количество]]</f>
        <v>8584.7999999999993</v>
      </c>
    </row>
    <row r="11" spans="1:7" ht="21" customHeight="1" x14ac:dyDescent="0.3">
      <c r="A11" s="36">
        <v>45109</v>
      </c>
      <c r="B11" s="27" t="s">
        <v>90</v>
      </c>
      <c r="C11" s="27">
        <v>6</v>
      </c>
      <c r="D11" s="27" t="s">
        <v>88</v>
      </c>
      <c r="E11" s="27">
        <v>24</v>
      </c>
      <c r="F11" s="28">
        <v>245.9</v>
      </c>
      <c r="G11" s="29">
        <f>Таблица1[[#This Row],[Цена, руб.]]*Таблица1[[#This Row],[Количество]]</f>
        <v>5901.6</v>
      </c>
    </row>
    <row r="12" spans="1:7" ht="21" customHeight="1" x14ac:dyDescent="0.3">
      <c r="A12" s="36">
        <v>45080</v>
      </c>
      <c r="B12" s="27" t="s">
        <v>84</v>
      </c>
      <c r="C12" s="27">
        <v>4</v>
      </c>
      <c r="D12" s="27" t="s">
        <v>85</v>
      </c>
      <c r="E12" s="27">
        <v>13</v>
      </c>
      <c r="F12" s="28">
        <v>230</v>
      </c>
      <c r="G12" s="29">
        <f>Таблица1[[#This Row],[Цена, руб.]]*Таблица1[[#This Row],[Количество]]</f>
        <v>2990</v>
      </c>
    </row>
    <row r="13" spans="1:7" ht="21" customHeight="1" x14ac:dyDescent="0.3">
      <c r="A13" s="36">
        <v>45111</v>
      </c>
      <c r="B13" s="27" t="s">
        <v>89</v>
      </c>
      <c r="C13" s="27">
        <v>5</v>
      </c>
      <c r="D13" s="27" t="s">
        <v>86</v>
      </c>
      <c r="E13" s="27">
        <v>27</v>
      </c>
      <c r="F13" s="28">
        <v>357.7</v>
      </c>
      <c r="G13" s="29">
        <f>Таблица1[[#This Row],[Цена, руб.]]*Таблица1[[#This Row],[Количество]]</f>
        <v>9657.9</v>
      </c>
    </row>
    <row r="14" spans="1:7" ht="21" customHeight="1" x14ac:dyDescent="0.3">
      <c r="A14" s="36">
        <v>45078</v>
      </c>
      <c r="B14" s="27" t="s">
        <v>90</v>
      </c>
      <c r="C14" s="27">
        <v>6</v>
      </c>
      <c r="D14" s="27" t="s">
        <v>85</v>
      </c>
      <c r="E14" s="27">
        <v>18</v>
      </c>
      <c r="F14" s="28">
        <v>230</v>
      </c>
      <c r="G14" s="29">
        <f>Таблица1[[#This Row],[Цена, руб.]]*Таблица1[[#This Row],[Количество]]</f>
        <v>4140</v>
      </c>
    </row>
    <row r="15" spans="1:7" ht="21" customHeight="1" x14ac:dyDescent="0.3">
      <c r="A15" s="36">
        <v>45109</v>
      </c>
      <c r="B15" s="27" t="s">
        <v>84</v>
      </c>
      <c r="C15" s="27">
        <v>4</v>
      </c>
      <c r="D15" s="27" t="s">
        <v>87</v>
      </c>
      <c r="E15" s="27">
        <v>20</v>
      </c>
      <c r="F15" s="28">
        <v>357.7</v>
      </c>
      <c r="G15" s="29">
        <f>Таблица1[[#This Row],[Цена, руб.]]*Таблица1[[#This Row],[Количество]]</f>
        <v>7154</v>
      </c>
    </row>
    <row r="16" spans="1:7" ht="21" customHeight="1" x14ac:dyDescent="0.3">
      <c r="A16" s="36">
        <v>45080</v>
      </c>
      <c r="B16" s="27" t="s">
        <v>89</v>
      </c>
      <c r="C16" s="27">
        <v>5</v>
      </c>
      <c r="D16" s="27" t="s">
        <v>88</v>
      </c>
      <c r="E16" s="27">
        <v>12</v>
      </c>
      <c r="F16" s="28">
        <v>245.9</v>
      </c>
      <c r="G16" s="29">
        <f>Таблица1[[#This Row],[Цена, руб.]]*Таблица1[[#This Row],[Количество]]</f>
        <v>2950.8</v>
      </c>
    </row>
    <row r="17" spans="1:7" ht="21" customHeight="1" x14ac:dyDescent="0.3">
      <c r="A17" s="36">
        <v>45111</v>
      </c>
      <c r="B17" s="27" t="s">
        <v>90</v>
      </c>
      <c r="C17" s="27">
        <v>6</v>
      </c>
      <c r="D17" s="27" t="s">
        <v>85</v>
      </c>
      <c r="E17" s="27">
        <v>48</v>
      </c>
      <c r="F17" s="28">
        <v>230</v>
      </c>
      <c r="G17" s="29">
        <f>Таблица1[[#This Row],[Цена, руб.]]*Таблица1[[#This Row],[Количество]]</f>
        <v>11040</v>
      </c>
    </row>
    <row r="18" spans="1:7" ht="21" customHeight="1" x14ac:dyDescent="0.3">
      <c r="A18" s="36">
        <v>45078</v>
      </c>
      <c r="B18" s="27" t="s">
        <v>91</v>
      </c>
      <c r="C18" s="27">
        <v>7</v>
      </c>
      <c r="D18" s="27" t="s">
        <v>86</v>
      </c>
      <c r="E18" s="27">
        <v>37</v>
      </c>
      <c r="F18" s="28">
        <v>357.7</v>
      </c>
      <c r="G18" s="29">
        <f>Таблица1[[#This Row],[Цена, руб.]]*Таблица1[[#This Row],[Количество]]</f>
        <v>13234.9</v>
      </c>
    </row>
    <row r="19" spans="1:7" ht="21" customHeight="1" x14ac:dyDescent="0.3">
      <c r="A19" s="36">
        <v>45109</v>
      </c>
      <c r="B19" s="27" t="s">
        <v>89</v>
      </c>
      <c r="C19" s="27">
        <v>5</v>
      </c>
      <c r="D19" s="27" t="s">
        <v>85</v>
      </c>
      <c r="E19" s="27">
        <v>22</v>
      </c>
      <c r="F19" s="28">
        <v>230</v>
      </c>
      <c r="G19" s="29">
        <f>Таблица1[[#This Row],[Цена, руб.]]*Таблица1[[#This Row],[Количество]]</f>
        <v>5060</v>
      </c>
    </row>
    <row r="20" spans="1:7" ht="21" customHeight="1" x14ac:dyDescent="0.3">
      <c r="A20" s="36">
        <v>45080</v>
      </c>
      <c r="B20" s="27" t="s">
        <v>90</v>
      </c>
      <c r="C20" s="27">
        <v>6</v>
      </c>
      <c r="D20" s="27" t="s">
        <v>87</v>
      </c>
      <c r="E20" s="27">
        <v>41</v>
      </c>
      <c r="F20" s="28">
        <v>357.7</v>
      </c>
      <c r="G20" s="29">
        <f>Таблица1[[#This Row],[Цена, руб.]]*Таблица1[[#This Row],[Количество]]</f>
        <v>14665.699999999999</v>
      </c>
    </row>
    <row r="21" spans="1:7" ht="21" customHeight="1" x14ac:dyDescent="0.3">
      <c r="A21" s="36">
        <v>45111</v>
      </c>
      <c r="B21" s="27" t="s">
        <v>91</v>
      </c>
      <c r="C21" s="27">
        <v>7</v>
      </c>
      <c r="D21" s="27" t="s">
        <v>88</v>
      </c>
      <c r="E21" s="27">
        <v>27</v>
      </c>
      <c r="F21" s="28">
        <v>245.9</v>
      </c>
      <c r="G21" s="29">
        <f>Таблица1[[#This Row],[Цена, руб.]]*Таблица1[[#This Row],[Количество]]</f>
        <v>6639.3</v>
      </c>
    </row>
    <row r="22" spans="1:7" ht="21" customHeight="1" x14ac:dyDescent="0.3">
      <c r="A22" s="36">
        <v>45078</v>
      </c>
      <c r="B22" s="27" t="s">
        <v>89</v>
      </c>
      <c r="C22" s="27">
        <v>5</v>
      </c>
      <c r="D22" s="27" t="s">
        <v>85</v>
      </c>
      <c r="E22" s="27">
        <v>24</v>
      </c>
      <c r="F22" s="28">
        <v>230</v>
      </c>
      <c r="G22" s="29">
        <f>Таблица1[[#This Row],[Цена, руб.]]*Таблица1[[#This Row],[Количество]]</f>
        <v>5520</v>
      </c>
    </row>
    <row r="23" spans="1:7" ht="21" customHeight="1" x14ac:dyDescent="0.3">
      <c r="A23" s="36">
        <v>45109</v>
      </c>
      <c r="B23" s="27" t="s">
        <v>90</v>
      </c>
      <c r="C23" s="27">
        <v>6</v>
      </c>
      <c r="D23" s="27" t="s">
        <v>86</v>
      </c>
      <c r="E23" s="27">
        <v>5</v>
      </c>
      <c r="F23" s="28">
        <v>357.7</v>
      </c>
      <c r="G23" s="29">
        <f>Таблица1[[#This Row],[Цена, руб.]]*Таблица1[[#This Row],[Количество]]</f>
        <v>1788.5</v>
      </c>
    </row>
    <row r="24" spans="1:7" ht="21" customHeight="1" x14ac:dyDescent="0.3">
      <c r="A24" s="36">
        <v>45080</v>
      </c>
      <c r="B24" s="27" t="s">
        <v>91</v>
      </c>
      <c r="C24" s="27">
        <v>7</v>
      </c>
      <c r="D24" s="27" t="s">
        <v>85</v>
      </c>
      <c r="E24" s="27">
        <v>11</v>
      </c>
      <c r="F24" s="28">
        <v>230</v>
      </c>
      <c r="G24" s="29">
        <f>Таблица1[[#This Row],[Цена, руб.]]*Таблица1[[#This Row],[Количество]]</f>
        <v>2530</v>
      </c>
    </row>
    <row r="25" spans="1:7" ht="21" customHeight="1" x14ac:dyDescent="0.3">
      <c r="A25" s="36">
        <v>45111</v>
      </c>
      <c r="B25" s="27" t="s">
        <v>89</v>
      </c>
      <c r="C25" s="27">
        <v>5</v>
      </c>
      <c r="D25" s="27" t="s">
        <v>87</v>
      </c>
      <c r="E25" s="27">
        <v>35</v>
      </c>
      <c r="F25" s="28">
        <v>357.7</v>
      </c>
      <c r="G25" s="29">
        <f>Таблица1[[#This Row],[Цена, руб.]]*Таблица1[[#This Row],[Количество]]</f>
        <v>12519.5</v>
      </c>
    </row>
    <row r="26" spans="1:7" ht="21" customHeight="1" x14ac:dyDescent="0.3">
      <c r="A26" s="36">
        <v>45078</v>
      </c>
      <c r="B26" s="30" t="s">
        <v>90</v>
      </c>
      <c r="C26" s="30">
        <v>6</v>
      </c>
      <c r="D26" s="30" t="s">
        <v>88</v>
      </c>
      <c r="E26" s="30">
        <v>26</v>
      </c>
      <c r="F26" s="31">
        <v>245.9</v>
      </c>
      <c r="G26" s="32">
        <f>Таблица1[[#This Row],[Цена, руб.]]*Таблица1[[#This Row],[Количество]]</f>
        <v>6393.4000000000005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tabSelected="1" topLeftCell="C1" zoomScale="57" workbookViewId="0">
      <selection activeCell="K5" sqref="K5"/>
    </sheetView>
  </sheetViews>
  <sheetFormatPr defaultColWidth="19.44140625" defaultRowHeight="14.4" x14ac:dyDescent="0.3"/>
  <cols>
    <col min="1" max="1" width="19.5546875" style="3" bestFit="1" customWidth="1"/>
    <col min="2" max="2" width="23.109375" style="3" bestFit="1" customWidth="1"/>
    <col min="3" max="4" width="13.44140625" style="3" bestFit="1" customWidth="1"/>
    <col min="5" max="5" width="17.88671875" style="3" bestFit="1" customWidth="1"/>
    <col min="6" max="6" width="15.5546875" style="3" bestFit="1" customWidth="1"/>
    <col min="7" max="8" width="13.44140625" style="3" bestFit="1" customWidth="1"/>
    <col min="9" max="9" width="13.88671875" style="3" bestFit="1" customWidth="1"/>
    <col min="10" max="10" width="15.5546875" style="3" bestFit="1" customWidth="1"/>
    <col min="11" max="11" width="17.5546875" style="3" bestFit="1" customWidth="1"/>
    <col min="12" max="12" width="13.44140625" style="3" bestFit="1" customWidth="1"/>
    <col min="13" max="13" width="13.88671875" style="3" bestFit="1" customWidth="1"/>
    <col min="14" max="15" width="13.44140625" style="3" bestFit="1" customWidth="1"/>
    <col min="16" max="16" width="17.88671875" style="3" bestFit="1" customWidth="1"/>
    <col min="17" max="17" width="13.88671875" style="3" bestFit="1" customWidth="1"/>
    <col min="18" max="18" width="14.6640625" style="3" bestFit="1" customWidth="1"/>
    <col min="19" max="19" width="16.5546875" style="3" bestFit="1" customWidth="1"/>
    <col min="20" max="20" width="18" style="3" bestFit="1" customWidth="1"/>
    <col min="21" max="21" width="18.5546875" style="3" bestFit="1" customWidth="1"/>
    <col min="22" max="22" width="17.33203125" style="3" bestFit="1" customWidth="1"/>
    <col min="23" max="24" width="17.88671875" style="3" bestFit="1" customWidth="1"/>
    <col min="25" max="25" width="18" style="3" bestFit="1" customWidth="1"/>
    <col min="26" max="26" width="18.5546875" style="3" bestFit="1" customWidth="1"/>
    <col min="27" max="16384" width="19.44140625" style="3"/>
  </cols>
  <sheetData>
    <row r="1" spans="1:26" x14ac:dyDescent="0.3">
      <c r="B1" s="40" t="s">
        <v>98</v>
      </c>
      <c r="V1"/>
      <c r="W1"/>
      <c r="X1"/>
      <c r="Y1"/>
      <c r="Z1"/>
    </row>
    <row r="2" spans="1:26" ht="43.2" x14ac:dyDescent="0.3">
      <c r="B2" s="41" t="s">
        <v>94</v>
      </c>
      <c r="F2" s="41" t="s">
        <v>95</v>
      </c>
      <c r="J2" s="41" t="s">
        <v>96</v>
      </c>
      <c r="N2" s="41" t="s">
        <v>97</v>
      </c>
      <c r="R2" s="41" t="s">
        <v>99</v>
      </c>
      <c r="S2" s="41" t="s">
        <v>100</v>
      </c>
      <c r="T2" s="41" t="s">
        <v>102</v>
      </c>
      <c r="U2" s="41" t="s">
        <v>104</v>
      </c>
      <c r="V2"/>
      <c r="W2"/>
      <c r="X2"/>
      <c r="Y2"/>
      <c r="Z2"/>
    </row>
    <row r="3" spans="1:26" ht="43.2" x14ac:dyDescent="0.3">
      <c r="A3" s="40" t="s">
        <v>92</v>
      </c>
      <c r="B3" s="3" t="s">
        <v>93</v>
      </c>
      <c r="C3" s="3" t="s">
        <v>101</v>
      </c>
      <c r="D3" s="3" t="s">
        <v>103</v>
      </c>
      <c r="E3" s="3" t="s">
        <v>105</v>
      </c>
      <c r="F3" s="3" t="s">
        <v>93</v>
      </c>
      <c r="G3" s="3" t="s">
        <v>101</v>
      </c>
      <c r="H3" s="3" t="s">
        <v>103</v>
      </c>
      <c r="I3" s="3" t="s">
        <v>105</v>
      </c>
      <c r="J3" s="3" t="s">
        <v>93</v>
      </c>
      <c r="K3" s="3" t="s">
        <v>101</v>
      </c>
      <c r="L3" s="3" t="s">
        <v>103</v>
      </c>
      <c r="M3" s="3" t="s">
        <v>105</v>
      </c>
      <c r="N3" s="3" t="s">
        <v>93</v>
      </c>
      <c r="O3" s="3" t="s">
        <v>101</v>
      </c>
      <c r="P3" s="3" t="s">
        <v>103</v>
      </c>
      <c r="Q3" s="3" t="s">
        <v>105</v>
      </c>
      <c r="V3"/>
      <c r="W3"/>
      <c r="X3"/>
      <c r="Y3"/>
      <c r="Z3"/>
    </row>
    <row r="4" spans="1:26" ht="28.8" x14ac:dyDescent="0.3">
      <c r="A4" s="3" t="s">
        <v>85</v>
      </c>
      <c r="B4" s="47">
        <v>16210</v>
      </c>
      <c r="C4" s="47">
        <v>4052.5</v>
      </c>
      <c r="D4" s="47">
        <v>1950</v>
      </c>
      <c r="E4" s="47">
        <v>5520</v>
      </c>
      <c r="F4" s="47">
        <v>5520</v>
      </c>
      <c r="G4" s="47">
        <v>2760</v>
      </c>
      <c r="H4" s="47">
        <v>2530</v>
      </c>
      <c r="I4" s="47">
        <v>2990</v>
      </c>
      <c r="J4" s="47">
        <v>15410</v>
      </c>
      <c r="K4" s="47">
        <v>7705</v>
      </c>
      <c r="L4" s="47">
        <v>5060</v>
      </c>
      <c r="M4" s="47">
        <v>10350</v>
      </c>
      <c r="N4" s="47">
        <v>20700</v>
      </c>
      <c r="O4" s="47">
        <v>10350</v>
      </c>
      <c r="P4" s="47">
        <v>9660</v>
      </c>
      <c r="Q4" s="47">
        <v>11040</v>
      </c>
      <c r="R4" s="47">
        <v>57840</v>
      </c>
      <c r="S4" s="47">
        <v>5784</v>
      </c>
      <c r="T4" s="47">
        <v>1950</v>
      </c>
      <c r="U4" s="47">
        <v>11040</v>
      </c>
      <c r="V4"/>
      <c r="W4"/>
      <c r="X4"/>
      <c r="Y4"/>
      <c r="Z4"/>
    </row>
    <row r="5" spans="1:26" ht="28.8" x14ac:dyDescent="0.3">
      <c r="A5" s="3" t="s">
        <v>87</v>
      </c>
      <c r="B5" s="47">
        <v>8584.7999999999993</v>
      </c>
      <c r="C5" s="47">
        <v>8584.7999999999993</v>
      </c>
      <c r="D5" s="47">
        <v>8584.7999999999993</v>
      </c>
      <c r="E5" s="47">
        <v>8584.7999999999993</v>
      </c>
      <c r="F5" s="47">
        <v>14665.699999999999</v>
      </c>
      <c r="G5" s="47">
        <v>14665.699999999999</v>
      </c>
      <c r="H5" s="47">
        <v>14665.699999999999</v>
      </c>
      <c r="I5" s="47">
        <v>14665.699999999999</v>
      </c>
      <c r="J5" s="47">
        <v>7154</v>
      </c>
      <c r="K5" s="47">
        <v>7154</v>
      </c>
      <c r="L5" s="47">
        <v>7154</v>
      </c>
      <c r="M5" s="47">
        <v>7154</v>
      </c>
      <c r="N5" s="47">
        <v>14254.5</v>
      </c>
      <c r="O5" s="47">
        <v>7127.25</v>
      </c>
      <c r="P5" s="47">
        <v>1735</v>
      </c>
      <c r="Q5" s="47">
        <v>12519.5</v>
      </c>
      <c r="R5" s="47">
        <v>44659</v>
      </c>
      <c r="S5" s="47">
        <v>8931.7999999999993</v>
      </c>
      <c r="T5" s="47">
        <v>1735</v>
      </c>
      <c r="U5" s="47">
        <v>14665.699999999999</v>
      </c>
      <c r="V5"/>
      <c r="W5"/>
      <c r="X5"/>
      <c r="Y5"/>
      <c r="Z5"/>
    </row>
    <row r="6" spans="1:26" x14ac:dyDescent="0.3">
      <c r="A6" s="3" t="s">
        <v>88</v>
      </c>
      <c r="B6" s="47">
        <v>6393.4000000000005</v>
      </c>
      <c r="C6" s="47">
        <v>6393.4000000000005</v>
      </c>
      <c r="D6" s="47">
        <v>6393.4000000000005</v>
      </c>
      <c r="E6" s="47">
        <v>6393.4000000000005</v>
      </c>
      <c r="F6" s="47">
        <v>5150.8</v>
      </c>
      <c r="G6" s="47">
        <v>2575.4</v>
      </c>
      <c r="H6" s="47">
        <v>2200</v>
      </c>
      <c r="I6" s="47">
        <v>2950.8</v>
      </c>
      <c r="J6" s="47">
        <v>5901.6</v>
      </c>
      <c r="K6" s="47">
        <v>5901.6</v>
      </c>
      <c r="L6" s="47">
        <v>5901.6</v>
      </c>
      <c r="M6" s="47">
        <v>5901.6</v>
      </c>
      <c r="N6" s="47">
        <v>6639.3</v>
      </c>
      <c r="O6" s="47">
        <v>6639.3</v>
      </c>
      <c r="P6" s="47">
        <v>6639.3</v>
      </c>
      <c r="Q6" s="47">
        <v>6639.3</v>
      </c>
      <c r="R6" s="47">
        <v>24085.100000000002</v>
      </c>
      <c r="S6" s="47">
        <v>4817.0200000000004</v>
      </c>
      <c r="T6" s="47">
        <v>2200</v>
      </c>
      <c r="U6" s="47">
        <v>6639.3</v>
      </c>
      <c r="V6"/>
      <c r="W6"/>
      <c r="X6"/>
      <c r="Y6"/>
      <c r="Z6"/>
    </row>
    <row r="7" spans="1:26" x14ac:dyDescent="0.3">
      <c r="A7" s="3" t="s">
        <v>86</v>
      </c>
      <c r="B7" s="47">
        <v>13234.9</v>
      </c>
      <c r="C7" s="47">
        <v>13234.9</v>
      </c>
      <c r="D7" s="47">
        <v>13234.9</v>
      </c>
      <c r="E7" s="47">
        <v>13234.9</v>
      </c>
      <c r="F7" s="47">
        <v>2503.9</v>
      </c>
      <c r="G7" s="47">
        <v>2503.9</v>
      </c>
      <c r="H7" s="47">
        <v>2503.9</v>
      </c>
      <c r="I7" s="47">
        <v>2503.9</v>
      </c>
      <c r="J7" s="47">
        <v>5007.7999999999993</v>
      </c>
      <c r="K7" s="47">
        <v>2503.8999999999996</v>
      </c>
      <c r="L7" s="47">
        <v>1788.5</v>
      </c>
      <c r="M7" s="47">
        <v>3219.2999999999997</v>
      </c>
      <c r="N7" s="47">
        <v>9657.9</v>
      </c>
      <c r="O7" s="47">
        <v>9657.9</v>
      </c>
      <c r="P7" s="47">
        <v>9657.9</v>
      </c>
      <c r="Q7" s="47">
        <v>9657.9</v>
      </c>
      <c r="R7" s="47">
        <v>30404.5</v>
      </c>
      <c r="S7" s="47">
        <v>6080.9</v>
      </c>
      <c r="T7" s="47">
        <v>1788.5</v>
      </c>
      <c r="U7" s="47">
        <v>13234.9</v>
      </c>
      <c r="V7"/>
      <c r="W7"/>
      <c r="X7"/>
      <c r="Y7"/>
      <c r="Z7"/>
    </row>
    <row r="8" spans="1:26" x14ac:dyDescent="0.3">
      <c r="A8" s="3" t="s">
        <v>68</v>
      </c>
      <c r="B8" s="47">
        <v>44423.1</v>
      </c>
      <c r="C8" s="47">
        <v>6346.1571428571424</v>
      </c>
      <c r="D8" s="47">
        <v>1950</v>
      </c>
      <c r="E8" s="47">
        <v>13234.9</v>
      </c>
      <c r="F8" s="47">
        <v>27840.399999999998</v>
      </c>
      <c r="G8" s="47">
        <v>4640.0666666666666</v>
      </c>
      <c r="H8" s="47">
        <v>2200</v>
      </c>
      <c r="I8" s="47">
        <v>14665.699999999999</v>
      </c>
      <c r="J8" s="47">
        <v>33473.399999999994</v>
      </c>
      <c r="K8" s="47">
        <v>5578.8999999999987</v>
      </c>
      <c r="L8" s="47">
        <v>1788.5</v>
      </c>
      <c r="M8" s="47">
        <v>10350</v>
      </c>
      <c r="N8" s="47">
        <v>51251.700000000004</v>
      </c>
      <c r="O8" s="47">
        <v>8541.9500000000007</v>
      </c>
      <c r="P8" s="47">
        <v>1735</v>
      </c>
      <c r="Q8" s="47">
        <v>12519.5</v>
      </c>
      <c r="R8" s="47">
        <v>156988.6</v>
      </c>
      <c r="S8" s="47">
        <v>6279.5439999999999</v>
      </c>
      <c r="T8" s="47">
        <v>1735</v>
      </c>
      <c r="U8" s="47">
        <v>14665.699999999999</v>
      </c>
      <c r="V8"/>
      <c r="W8"/>
      <c r="X8"/>
      <c r="Y8"/>
      <c r="Z8"/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="69" workbookViewId="0">
      <selection activeCell="H18" sqref="H18"/>
    </sheetView>
  </sheetViews>
  <sheetFormatPr defaultRowHeight="14.4" x14ac:dyDescent="0.3"/>
  <cols>
    <col min="1" max="1" width="29.6640625" bestFit="1" customWidth="1"/>
    <col min="2" max="2" width="14.109375" bestFit="1" customWidth="1"/>
    <col min="3" max="5" width="12.77734375" bestFit="1" customWidth="1"/>
    <col min="6" max="6" width="14" bestFit="1" customWidth="1"/>
  </cols>
  <sheetData>
    <row r="1" spans="1:6" ht="28.8" x14ac:dyDescent="0.3">
      <c r="A1" s="40" t="s">
        <v>93</v>
      </c>
      <c r="B1" s="40" t="s">
        <v>98</v>
      </c>
    </row>
    <row r="2" spans="1:6" x14ac:dyDescent="0.3">
      <c r="A2" s="37" t="s">
        <v>92</v>
      </c>
      <c r="B2" s="20" t="s">
        <v>94</v>
      </c>
      <c r="C2" s="20" t="s">
        <v>95</v>
      </c>
      <c r="D2" s="20" t="s">
        <v>96</v>
      </c>
      <c r="E2" s="20" t="s">
        <v>97</v>
      </c>
      <c r="F2" s="20" t="s">
        <v>68</v>
      </c>
    </row>
    <row r="3" spans="1:6" x14ac:dyDescent="0.3">
      <c r="A3" s="38" t="s">
        <v>89</v>
      </c>
      <c r="B3" s="48">
        <v>14104.8</v>
      </c>
      <c r="C3" s="48">
        <v>2950.8</v>
      </c>
      <c r="D3" s="48">
        <v>15410</v>
      </c>
      <c r="E3" s="48">
        <v>22177.4</v>
      </c>
      <c r="F3" s="48">
        <v>54643.000000000007</v>
      </c>
    </row>
    <row r="4" spans="1:6" x14ac:dyDescent="0.3">
      <c r="A4" s="39" t="s">
        <v>85</v>
      </c>
      <c r="B4" s="48">
        <v>5520</v>
      </c>
      <c r="C4" s="48"/>
      <c r="D4" s="48">
        <v>15410</v>
      </c>
      <c r="E4" s="48"/>
      <c r="F4" s="48">
        <v>20930</v>
      </c>
    </row>
    <row r="5" spans="1:6" x14ac:dyDescent="0.3">
      <c r="A5" s="39" t="s">
        <v>87</v>
      </c>
      <c r="B5" s="48">
        <v>8584.7999999999993</v>
      </c>
      <c r="C5" s="48"/>
      <c r="D5" s="48"/>
      <c r="E5" s="48">
        <v>12519.5</v>
      </c>
      <c r="F5" s="48">
        <v>21104.3</v>
      </c>
    </row>
    <row r="6" spans="1:6" x14ac:dyDescent="0.3">
      <c r="A6" s="39" t="s">
        <v>88</v>
      </c>
      <c r="B6" s="48"/>
      <c r="C6" s="48">
        <v>2950.8</v>
      </c>
      <c r="D6" s="48"/>
      <c r="E6" s="48"/>
      <c r="F6" s="48">
        <v>2950.8</v>
      </c>
    </row>
    <row r="7" spans="1:6" x14ac:dyDescent="0.3">
      <c r="A7" s="39" t="s">
        <v>86</v>
      </c>
      <c r="B7" s="48"/>
      <c r="C7" s="48"/>
      <c r="D7" s="48"/>
      <c r="E7" s="48">
        <v>9657.9</v>
      </c>
      <c r="F7" s="48">
        <v>9657.9</v>
      </c>
    </row>
    <row r="8" spans="1:6" x14ac:dyDescent="0.3">
      <c r="A8" s="38" t="s">
        <v>84</v>
      </c>
      <c r="B8" s="48">
        <v>6550</v>
      </c>
      <c r="C8" s="48">
        <v>5190</v>
      </c>
      <c r="D8" s="48">
        <v>10373.299999999999</v>
      </c>
      <c r="E8" s="48">
        <v>11395</v>
      </c>
      <c r="F8" s="48">
        <v>33508.300000000003</v>
      </c>
    </row>
    <row r="9" spans="1:6" x14ac:dyDescent="0.3">
      <c r="A9" s="39" t="s">
        <v>85</v>
      </c>
      <c r="B9" s="48">
        <v>6550</v>
      </c>
      <c r="C9" s="48">
        <v>2990</v>
      </c>
      <c r="D9" s="48"/>
      <c r="E9" s="48">
        <v>9660</v>
      </c>
      <c r="F9" s="48">
        <v>19200</v>
      </c>
    </row>
    <row r="10" spans="1:6" x14ac:dyDescent="0.3">
      <c r="A10" s="39" t="s">
        <v>87</v>
      </c>
      <c r="B10" s="48"/>
      <c r="C10" s="48"/>
      <c r="D10" s="48">
        <v>7154</v>
      </c>
      <c r="E10" s="48">
        <v>1735</v>
      </c>
      <c r="F10" s="48">
        <v>8889</v>
      </c>
    </row>
    <row r="11" spans="1:6" x14ac:dyDescent="0.3">
      <c r="A11" s="39" t="s">
        <v>88</v>
      </c>
      <c r="B11" s="48"/>
      <c r="C11" s="48">
        <v>2200</v>
      </c>
      <c r="D11" s="48"/>
      <c r="E11" s="48"/>
      <c r="F11" s="48">
        <v>2200</v>
      </c>
    </row>
    <row r="12" spans="1:6" x14ac:dyDescent="0.3">
      <c r="A12" s="39" t="s">
        <v>86</v>
      </c>
      <c r="B12" s="48"/>
      <c r="C12" s="48"/>
      <c r="D12" s="48">
        <v>3219.2999999999997</v>
      </c>
      <c r="E12" s="48"/>
      <c r="F12" s="48">
        <v>3219.2999999999997</v>
      </c>
    </row>
    <row r="13" spans="1:6" x14ac:dyDescent="0.3">
      <c r="A13" s="38" t="s">
        <v>91</v>
      </c>
      <c r="B13" s="48">
        <v>13234.9</v>
      </c>
      <c r="C13" s="48">
        <v>2530</v>
      </c>
      <c r="D13" s="48"/>
      <c r="E13" s="48">
        <v>6639.3</v>
      </c>
      <c r="F13" s="48">
        <v>22404.199999999997</v>
      </c>
    </row>
    <row r="14" spans="1:6" x14ac:dyDescent="0.3">
      <c r="A14" s="39" t="s">
        <v>85</v>
      </c>
      <c r="B14" s="48"/>
      <c r="C14" s="48">
        <v>2530</v>
      </c>
      <c r="D14" s="48"/>
      <c r="E14" s="48"/>
      <c r="F14" s="48">
        <v>2530</v>
      </c>
    </row>
    <row r="15" spans="1:6" x14ac:dyDescent="0.3">
      <c r="A15" s="39" t="s">
        <v>88</v>
      </c>
      <c r="B15" s="48"/>
      <c r="C15" s="48"/>
      <c r="D15" s="48"/>
      <c r="E15" s="48">
        <v>6639.3</v>
      </c>
      <c r="F15" s="48">
        <v>6639.3</v>
      </c>
    </row>
    <row r="16" spans="1:6" x14ac:dyDescent="0.3">
      <c r="A16" s="39" t="s">
        <v>86</v>
      </c>
      <c r="B16" s="48">
        <v>13234.9</v>
      </c>
      <c r="C16" s="48"/>
      <c r="D16" s="48"/>
      <c r="E16" s="48"/>
      <c r="F16" s="48">
        <v>13234.9</v>
      </c>
    </row>
    <row r="17" spans="1:6" x14ac:dyDescent="0.3">
      <c r="A17" s="38" t="s">
        <v>90</v>
      </c>
      <c r="B17" s="48">
        <v>10533.400000000001</v>
      </c>
      <c r="C17" s="48">
        <v>17169.599999999999</v>
      </c>
      <c r="D17" s="48">
        <v>7690.1</v>
      </c>
      <c r="E17" s="48">
        <v>11040</v>
      </c>
      <c r="F17" s="48">
        <v>46433.1</v>
      </c>
    </row>
    <row r="18" spans="1:6" x14ac:dyDescent="0.3">
      <c r="A18" s="39" t="s">
        <v>85</v>
      </c>
      <c r="B18" s="48">
        <v>4140</v>
      </c>
      <c r="C18" s="48"/>
      <c r="D18" s="48"/>
      <c r="E18" s="48">
        <v>11040</v>
      </c>
      <c r="F18" s="48">
        <v>15180</v>
      </c>
    </row>
    <row r="19" spans="1:6" x14ac:dyDescent="0.3">
      <c r="A19" s="39" t="s">
        <v>87</v>
      </c>
      <c r="B19" s="48"/>
      <c r="C19" s="48">
        <v>14665.699999999999</v>
      </c>
      <c r="D19" s="48"/>
      <c r="E19" s="48"/>
      <c r="F19" s="48">
        <v>14665.699999999999</v>
      </c>
    </row>
    <row r="20" spans="1:6" x14ac:dyDescent="0.3">
      <c r="A20" s="39" t="s">
        <v>88</v>
      </c>
      <c r="B20" s="48">
        <v>6393.4000000000005</v>
      </c>
      <c r="C20" s="48"/>
      <c r="D20" s="48">
        <v>5901.6</v>
      </c>
      <c r="E20" s="48"/>
      <c r="F20" s="48">
        <v>12295</v>
      </c>
    </row>
    <row r="21" spans="1:6" x14ac:dyDescent="0.3">
      <c r="A21" s="39" t="s">
        <v>86</v>
      </c>
      <c r="B21" s="48"/>
      <c r="C21" s="48">
        <v>2503.9</v>
      </c>
      <c r="D21" s="48">
        <v>1788.5</v>
      </c>
      <c r="E21" s="48"/>
      <c r="F21" s="48">
        <v>4292.3999999999996</v>
      </c>
    </row>
    <row r="22" spans="1:6" x14ac:dyDescent="0.3">
      <c r="A22" s="38" t="s">
        <v>68</v>
      </c>
      <c r="B22" s="48">
        <v>44423.1</v>
      </c>
      <c r="C22" s="48">
        <v>27840.400000000001</v>
      </c>
      <c r="D22" s="48">
        <v>33473.4</v>
      </c>
      <c r="E22" s="48">
        <v>51251.700000000004</v>
      </c>
      <c r="F22" s="48">
        <v>156988.6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1.1</vt:lpstr>
      <vt:lpstr>Лист4</vt:lpstr>
      <vt:lpstr>1.2</vt:lpstr>
      <vt:lpstr>1.3</vt:lpstr>
      <vt:lpstr>2.1</vt:lpstr>
      <vt:lpstr>2.1.2</vt:lpstr>
      <vt:lpstr>2.2</vt:lpstr>
      <vt:lpstr>2.3</vt:lpstr>
      <vt:lpstr>2.4,5</vt:lpstr>
      <vt:lpstr>3</vt:lpstr>
      <vt:lpstr>3.1</vt:lpstr>
      <vt:lpstr>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2023-12-06T20:45:06Z</dcterms:created>
  <dcterms:modified xsi:type="dcterms:W3CDTF">2023-12-11T10:28:31Z</dcterms:modified>
</cp:coreProperties>
</file>